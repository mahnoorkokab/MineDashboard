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781"/>
  </bookViews>
  <sheets>
    <sheet name="OCM Table" sheetId="94" r:id="rId1"/>
    <sheet name="Summary" sheetId="13" r:id="rId2"/>
  </sheets>
  <definedNames>
    <definedName name="_xlnm._FilterDatabase" localSheetId="0" hidden="1">'OCM Table'!$A$1:$T$208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tc={34A3615C-BCC7-4FD4-933A-1DD22F1A83F5}</author>
  </authors>
  <commentList>
    <comment ref="H143" authorId="0">
      <text>
        <r>
          <rPr>
            <sz val="10"/>
            <rFont val="SimSun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Softstarter for main motor
</t>
        </r>
      </text>
    </comment>
  </commentList>
</comments>
</file>

<file path=xl/sharedStrings.xml><?xml version="1.0" encoding="utf-8"?>
<sst xmlns="http://schemas.openxmlformats.org/spreadsheetml/2006/main" count="2749" uniqueCount="567">
  <si>
    <t>Project</t>
  </si>
  <si>
    <t>BU</t>
  </si>
  <si>
    <t>Location</t>
  </si>
  <si>
    <t>Status</t>
  </si>
  <si>
    <t>%</t>
  </si>
  <si>
    <t>Value (RM)</t>
  </si>
  <si>
    <t xml:space="preserve">Value Completed </t>
  </si>
  <si>
    <t>VO(RM)</t>
  </si>
  <si>
    <t>CDS</t>
  </si>
  <si>
    <t>day</t>
  </si>
  <si>
    <t>est.
Finish date</t>
  </si>
  <si>
    <t>Unit</t>
  </si>
  <si>
    <t>Quantity</t>
  </si>
  <si>
    <t>Average (RM/unit)</t>
  </si>
  <si>
    <t>Award</t>
  </si>
  <si>
    <t>Safuan</t>
  </si>
  <si>
    <t>Hamdee</t>
  </si>
  <si>
    <t>Woradate</t>
  </si>
  <si>
    <t>Nantawat</t>
  </si>
  <si>
    <t>Alya</t>
  </si>
  <si>
    <t>Vignes</t>
  </si>
  <si>
    <t>Azim</t>
  </si>
  <si>
    <t>Remark</t>
  </si>
  <si>
    <t>Date (Last Follow up)</t>
  </si>
  <si>
    <t>Capacitor Bank An Xin Target 500RM TNB Bill reduce each month</t>
  </si>
  <si>
    <t>Food</t>
  </si>
  <si>
    <t>An Xin Kepong</t>
  </si>
  <si>
    <t>On going</t>
  </si>
  <si>
    <t>NAT</t>
  </si>
  <si>
    <t>unit</t>
  </si>
  <si>
    <t>NKM</t>
  </si>
  <si>
    <t>Wait for TNB Approval</t>
  </si>
  <si>
    <t>Water Supply 2inches PVC pipe est.50m</t>
  </si>
  <si>
    <t>Farm</t>
  </si>
  <si>
    <t>BRC2</t>
  </si>
  <si>
    <t>m</t>
  </si>
  <si>
    <t>Kasas Plumbing</t>
  </si>
  <si>
    <t>Broilers 2houses 18x95x2.7m Finish 15/01/25</t>
  </si>
  <si>
    <t>m2</t>
  </si>
  <si>
    <t xml:space="preserve">MKR </t>
  </si>
  <si>
    <t>Broilers 1houses 16x120x2.7m Finish 15/01/25</t>
  </si>
  <si>
    <t>BRC5</t>
  </si>
  <si>
    <t>LLK</t>
  </si>
  <si>
    <t xml:space="preserve">not required </t>
  </si>
  <si>
    <t>CCTV BIN Monitoring, 32 unit transport</t>
  </si>
  <si>
    <t>Feed</t>
  </si>
  <si>
    <t>BWF</t>
  </si>
  <si>
    <t>No.</t>
  </si>
  <si>
    <t>Zheng Cheng</t>
  </si>
  <si>
    <t>CYF earthwork</t>
  </si>
  <si>
    <t>Swine</t>
  </si>
  <si>
    <t>Chau Yang Farm</t>
  </si>
  <si>
    <t>m3</t>
  </si>
  <si>
    <t>LNL Ent (Liew Eric)</t>
  </si>
  <si>
    <t>Repairing Crack/ Big Gap Area Block 1 to Block 8 at Layer</t>
  </si>
  <si>
    <t>Desaru</t>
  </si>
  <si>
    <t>Pioneer</t>
  </si>
  <si>
    <t>Repairing Crack/ Big Gap Area Block 9 to Block 16 at Layer</t>
  </si>
  <si>
    <t>Replace door and add urinal partition</t>
  </si>
  <si>
    <t>LS</t>
  </si>
  <si>
    <t>Emergency repair due to Windstorm</t>
  </si>
  <si>
    <t>After LV switchboard arrive, we can T&amp;C</t>
  </si>
  <si>
    <t>Fencing Manager House 91m</t>
  </si>
  <si>
    <t>Southline Engineering</t>
  </si>
  <si>
    <t>Pending meter deposit payment for complete shutdown and energizing new meter</t>
  </si>
  <si>
    <t>Egg bay (liquid)</t>
  </si>
  <si>
    <t>OVERHAUL SERVICE &amp; MAINTENANCE BIOGAS GENSET
1x600 kVA + New 12x Cylinder heads Assy</t>
  </si>
  <si>
    <t>completed</t>
  </si>
  <si>
    <t>no.</t>
  </si>
  <si>
    <t>Advance Energy</t>
  </si>
  <si>
    <t>Desaru2 Survey</t>
  </si>
  <si>
    <t>Desaru2</t>
  </si>
  <si>
    <t>Acre</t>
  </si>
  <si>
    <t>Mesra Ukur</t>
  </si>
  <si>
    <t>Water Tank 5,000 GL 4x4m2 Tank 48% Concrete 52%</t>
  </si>
  <si>
    <t>Kluang Hatchery</t>
  </si>
  <si>
    <t>South Line Eng.</t>
  </si>
  <si>
    <t>Road repair</t>
  </si>
  <si>
    <t>Tubewell 12m3/hr Groundfos SP11-24 Motor MS4000 3phases</t>
  </si>
  <si>
    <t>Kluang Farm</t>
  </si>
  <si>
    <t>m3/hr</t>
  </si>
  <si>
    <t>MILLENIUM</t>
  </si>
  <si>
    <t>Solar roof 400kwp saving 115,000RM/year</t>
  </si>
  <si>
    <t>FOC</t>
  </si>
  <si>
    <t>Solarvest</t>
  </si>
  <si>
    <t>Supply and install U drain 52m</t>
  </si>
  <si>
    <t>You Fatt</t>
  </si>
  <si>
    <t>Renovation Hostel 12rooms</t>
  </si>
  <si>
    <t>Kota Farm</t>
  </si>
  <si>
    <t>Change PU Roofing Pedas 2 For House 3 Flock C 1,680m2
PK3 4house move from Pedas 2 by MKR cost 237,500RM</t>
  </si>
  <si>
    <t>Kota TNB ( KM &amp; BP for TNB only)  1,000A</t>
  </si>
  <si>
    <t>Kota Hatchery</t>
  </si>
  <si>
    <t>A</t>
  </si>
  <si>
    <t xml:space="preserve">TSK Enterprise </t>
  </si>
  <si>
    <t>Kota hatchery earthwork</t>
  </si>
  <si>
    <t>SZ Bumi</t>
  </si>
  <si>
    <t>Move and renovate Water treatment Tank from Pedas 2 to PK3</t>
  </si>
  <si>
    <t>PK3</t>
  </si>
  <si>
    <t>BMS</t>
  </si>
  <si>
    <t>Add on packaging room (3.6m x 20m)</t>
  </si>
  <si>
    <t>Kowitech</t>
  </si>
  <si>
    <t>Male Toilet interior 28m2</t>
  </si>
  <si>
    <t>PKF</t>
  </si>
  <si>
    <t>AIDEA</t>
  </si>
  <si>
    <t>Repair concrete Feedmill 150m2</t>
  </si>
  <si>
    <t>CCTV BIN Monitoring, 48 unit transport</t>
  </si>
  <si>
    <t>Bin Stiffener 2 stiffener 24m</t>
  </si>
  <si>
    <t>Omori</t>
  </si>
  <si>
    <t>Change warehouse roof</t>
  </si>
  <si>
    <t>MKR</t>
  </si>
  <si>
    <t>PU Floor Extruder, 4mm BC Crete</t>
  </si>
  <si>
    <t>SealProof</t>
  </si>
  <si>
    <t>Changing room Premix</t>
  </si>
  <si>
    <t>Paver block beside silo 5
3days work on 23rd May</t>
  </si>
  <si>
    <t>Lift up loading bay</t>
  </si>
  <si>
    <t>Mixer purchase 4 T/hr 130,000USD</t>
  </si>
  <si>
    <t>T/hr</t>
  </si>
  <si>
    <t>Agrimate</t>
  </si>
  <si>
    <t>Tire Dipping (wheel Dipping) 3.5*4m2</t>
  </si>
  <si>
    <t>Silo Panel Room (Electric room) 1.5*2m2</t>
  </si>
  <si>
    <t>Patching premix besides weight bridge 128m2</t>
  </si>
  <si>
    <t>Dismantle H19 roof and install in H14</t>
  </si>
  <si>
    <t>Rantau</t>
  </si>
  <si>
    <t>Cement Board Ceiling and Septic Tank Installation</t>
  </si>
  <si>
    <t>Kota</t>
  </si>
  <si>
    <t>Renovate Cooling pad 2houses</t>
  </si>
  <si>
    <t>Sayong Farm</t>
  </si>
  <si>
    <t>MNH</t>
  </si>
  <si>
    <t>Change roof 3,295m2</t>
  </si>
  <si>
    <t>Sayong Hatchery</t>
  </si>
  <si>
    <t>Replace current 3 units air cooler at infeed room install July</t>
  </si>
  <si>
    <t>Senawang</t>
  </si>
  <si>
    <t>Mayekawa</t>
  </si>
  <si>
    <t>Refurbish Screw Shaft and Filter Plates</t>
  </si>
  <si>
    <t>C.K.E.&amp;S. TRADING (THAILAND)</t>
  </si>
  <si>
    <t>Overhaul 2x MYCOM Screw compressor</t>
  </si>
  <si>
    <t>Purchase Bun Slicing and Sauce Filling Machine for Sausage Roll and Burger</t>
  </si>
  <si>
    <t>UKI Food Technology</t>
  </si>
  <si>
    <t xml:space="preserve">Purchase Horizontal Packing (Flow Wrap) for Sausage Roll and Burger Line </t>
  </si>
  <si>
    <t>Installation Turn Table Machine for Sausage Roll and Burger Line</t>
  </si>
  <si>
    <t>Installation Transfer Conveyor Machine for Sausage Roll and Burger Line</t>
  </si>
  <si>
    <t>comparison done</t>
  </si>
  <si>
    <t>PM Compressor PK2 by MYCOM (Overhaul)</t>
  </si>
  <si>
    <t>MYCOM</t>
  </si>
  <si>
    <t>Fabrication process</t>
  </si>
  <si>
    <t>Siput Hostel renovation</t>
  </si>
  <si>
    <t>Sg Siput</t>
  </si>
  <si>
    <t>Sin sam Chuan</t>
  </si>
  <si>
    <t>GWS</t>
  </si>
  <si>
    <t>Purchase Electrical Cable Hs 1</t>
  </si>
  <si>
    <t>Sin Sam Chuan</t>
  </si>
  <si>
    <t>Renovation Office, Store, Car Spray, Washing and Car Park</t>
  </si>
  <si>
    <t>Tampin</t>
  </si>
  <si>
    <t>URGENT ORDER IINCIDENT REPORT SHENGDONG BIOGAS GENSET 2 ,alternater burn</t>
  </si>
  <si>
    <t>Tubewell (12m3/hr)</t>
  </si>
  <si>
    <t>PK2</t>
  </si>
  <si>
    <t>Wood Shaving ramp 15m3 concrete</t>
  </si>
  <si>
    <t>MNK</t>
  </si>
  <si>
    <t>Rest pavillion for driver waiting area egg grading 3x3m2 ??</t>
  </si>
  <si>
    <t>Hostel ceiling repair</t>
  </si>
  <si>
    <t>Kluang</t>
  </si>
  <si>
    <t>On Going</t>
  </si>
  <si>
    <t>M Shah</t>
  </si>
  <si>
    <t>REPAIR AIR COMPRESSOR #1 Model GX 5 P TM</t>
  </si>
  <si>
    <t>Chengkau</t>
  </si>
  <si>
    <t>ULTRA AIR INDUSTRIAL SUPPLIES</t>
  </si>
  <si>
    <t>REPAIR AIR COMPRESSOR #2 Model GX 5 P TM</t>
  </si>
  <si>
    <t>Dismantle 1 House Roofing at Pedas 2 and Transport to Chengkau (Rent crane 3,560 RM)
refer to 9 houses to Chengkau by Pioneer 78,000 RM
4 houses to PK3 w install 23,7500 RM</t>
  </si>
  <si>
    <t>House</t>
  </si>
  <si>
    <t>Repair Motor and Pump</t>
  </si>
  <si>
    <t>NKM M&amp;E</t>
  </si>
  <si>
    <t>Air Compressor 10HP 2units Hitachi with Dryer</t>
  </si>
  <si>
    <t>Airnergy</t>
  </si>
  <si>
    <t>TNB approval in process</t>
  </si>
  <si>
    <t>Land survey to Apply business license 10 acres</t>
  </si>
  <si>
    <t>acre</t>
  </si>
  <si>
    <t>Jurukur Hartamas</t>
  </si>
  <si>
    <t>Purchase Metal Detector Machine for Sausage Roll and Burger Line
Metal Detector 63k + Rejector 23k + Local Reject Bin 3.5k- by Anritsu
Offer 89.5kRM Final 75,000RM CIF Port Klang</t>
  </si>
  <si>
    <t>Cairnhill Metrology
(ANRITSU)</t>
  </si>
  <si>
    <t>TTM retrieving CCC documents</t>
  </si>
  <si>
    <t>TTM</t>
  </si>
  <si>
    <t>JPS</t>
  </si>
  <si>
    <t>Chicken Stunner 88,000euro Install August</t>
  </si>
  <si>
    <t>BAADER</t>
  </si>
  <si>
    <t>SUN COVER Louver COOLING PAD Louver 260m</t>
  </si>
  <si>
    <t>CCTV BIN Monitoring, 32 unit Installation</t>
  </si>
  <si>
    <t>Wattyll</t>
  </si>
  <si>
    <t>Single Supplier Wastewater Pond BRC1</t>
  </si>
  <si>
    <t>BRC1</t>
  </si>
  <si>
    <t>Day</t>
  </si>
  <si>
    <t>WT Tee</t>
  </si>
  <si>
    <t>Spot filter Bucket Elevator 10+6nos.</t>
  </si>
  <si>
    <t>JHF</t>
  </si>
  <si>
    <t>Soon Lian Engineering</t>
  </si>
  <si>
    <t>Modify 2 hoppers Meal silo</t>
  </si>
  <si>
    <t>AJ Peo Engineering</t>
  </si>
  <si>
    <t>Kota Hatchery renovate Phase 0 and 1 1300m2
VO Spides &amp; CC3 Fencing</t>
  </si>
  <si>
    <t>Genset 500KVA supply  (New)</t>
  </si>
  <si>
    <t>Advance Energy Engineering</t>
  </si>
  <si>
    <t>TNB Upgrade meter (contractor)</t>
  </si>
  <si>
    <t>An Xin Puchong Renovation</t>
  </si>
  <si>
    <t>An Xin Puchong</t>
  </si>
  <si>
    <t>Vintage Fareast</t>
  </si>
  <si>
    <t>Purchase air compressor Brand: Hitachi</t>
  </si>
  <si>
    <t>AIrnergy Sdn Bhd</t>
  </si>
  <si>
    <t xml:space="preserve">Water Treatment </t>
  </si>
  <si>
    <t>TNB Upgrade meter (consultant)</t>
  </si>
  <si>
    <t>Kota TNB (consultant)</t>
  </si>
  <si>
    <t>CTMEC</t>
  </si>
  <si>
    <t>TNB Chengkau (Consultant)</t>
  </si>
  <si>
    <t>Chengkau upgrade TNB 285m (VO Upgrade ATS 17k, Clearing land 44k, Rent Gen set 750kVA)</t>
  </si>
  <si>
    <t>RID</t>
  </si>
  <si>
    <t>Replace Line Sensor 45% and Generator 55% for
X-Ray Further Plant 2 lead time 60days</t>
  </si>
  <si>
    <t>Ishida System</t>
  </si>
  <si>
    <t>Whole bird packing for line 1 &amp; 3 Korea</t>
  </si>
  <si>
    <t>Multivac</t>
  </si>
  <si>
    <t>Hostel and office renovation</t>
  </si>
  <si>
    <t>Hostel and Toilet Renovation (Interior)</t>
  </si>
  <si>
    <t>IQF 1,200 kg/hr Install October</t>
  </si>
  <si>
    <t>Kg/hr</t>
  </si>
  <si>
    <t>CP M&amp;E China</t>
  </si>
  <si>
    <t>TNB Guard house</t>
  </si>
  <si>
    <t>JSM Ventures</t>
  </si>
  <si>
    <t xml:space="preserve">Permit Generator 30 gensets 4-6 months </t>
  </si>
  <si>
    <t>11 location</t>
  </si>
  <si>
    <t>KAC</t>
  </si>
  <si>
    <t>Tubewell 2-4 sets ( total 30m3/hr) min. 8m3/hr</t>
  </si>
  <si>
    <t>TTM Land Survey</t>
  </si>
  <si>
    <t>Geodatum</t>
  </si>
  <si>
    <t>Arrange for VO bottom tapper</t>
  </si>
  <si>
    <t>Desaru Hostel 12rooms</t>
  </si>
  <si>
    <t>WIldstone</t>
  </si>
  <si>
    <t>Breeder House size 14 x 126 x 2.7
House 17,18,19 By equipment 3.6M</t>
  </si>
  <si>
    <t>Permit KM&amp;BP Lot 20420 (Port Dickson)</t>
  </si>
  <si>
    <t>LJH PROJECT MANAGEMENT</t>
  </si>
  <si>
    <t>Permit KM&amp;BP Lot 106 (Rendering) S</t>
  </si>
  <si>
    <t>PM Compressor PK1, IQF by MYCOM</t>
  </si>
  <si>
    <t>Permit KM&amp;BP Lot 1587 Tampin (Repah)</t>
  </si>
  <si>
    <t>Live pig weighing scale w platform 1x1.8m2 H=1.2m
Ichida scale cost 12k RM</t>
  </si>
  <si>
    <t>Mettler Toledo</t>
  </si>
  <si>
    <t>Hostel, Bathroom and Toilet Renovation 4000m2</t>
  </si>
  <si>
    <t>BYself</t>
  </si>
  <si>
    <t>Permit KM&amp;BP Lot 32575 &amp; 32575 (Slaughter &amp; FPP1) S</t>
  </si>
  <si>
    <t>Flake Ice Machine at primary plant 20T/day</t>
  </si>
  <si>
    <t>T/days</t>
  </si>
  <si>
    <t>Ice-Tech Regrigeration</t>
  </si>
  <si>
    <t>CCTV BIN Monitoring, 48 unit Installation</t>
  </si>
  <si>
    <t>Silo 3600T</t>
  </si>
  <si>
    <t>Ton</t>
  </si>
  <si>
    <t>Chuan Ho</t>
  </si>
  <si>
    <t>6 units 5000 gallon water tank 8x12.5m2</t>
  </si>
  <si>
    <t xml:space="preserve">Pioneer </t>
  </si>
  <si>
    <t>HVAC Kota Hatchery M&amp;E 1,300m2</t>
  </si>
  <si>
    <t>IPC</t>
  </si>
  <si>
    <t>Kluang TNB 1,800A Consultant</t>
  </si>
  <si>
    <t>PTAG</t>
  </si>
  <si>
    <t>G1-Awning loading bay 3x12</t>
  </si>
  <si>
    <t>Berjasa</t>
  </si>
  <si>
    <t>G1-Replace Roof Separator (1 Lot)</t>
  </si>
  <si>
    <t>Southline</t>
  </si>
  <si>
    <t>BD</t>
  </si>
  <si>
    <t>Kota TNB ( contractor) 1,000A LV Cable (eAuction)</t>
  </si>
  <si>
    <t>IWK System 100PE</t>
  </si>
  <si>
    <t>PE</t>
  </si>
  <si>
    <t>Innovate Engineering</t>
  </si>
  <si>
    <t>Biogas B4 12,000m3 Linning &amp; Cover
Biogas B5 6,000m3 Linning only</t>
  </si>
  <si>
    <t>GTEK</t>
  </si>
  <si>
    <t>New submain cabling &amp; Change over panel
(Biogas to Egg grading panel) 
AUTOCHANGER FOR AHU EGG GRADING Pantavanij</t>
  </si>
  <si>
    <t>Office/canteen TTM concrete roof waterproof 14x47m</t>
  </si>
  <si>
    <t>BET</t>
  </si>
  <si>
    <t>G1-Renovate floor for store room (replace mozac) 20'x24'</t>
  </si>
  <si>
    <t>G1-Replace Roof Genset 1 (7.7x8.7)</t>
  </si>
  <si>
    <t>Chain Feeder H4(6 loops) and H5(6 loops)
minus some part in farm stock 8,468RM
not include installation/ lead time 3 months</t>
  </si>
  <si>
    <t>Loops</t>
  </si>
  <si>
    <t>Big Dutchman</t>
  </si>
  <si>
    <t>Slat for Broiler 800x600 BRC2 3000 pcs</t>
  </si>
  <si>
    <t>Slat for Broiler 800x600 BRC6 3000 pcs</t>
  </si>
  <si>
    <t>BRC6</t>
  </si>
  <si>
    <t>Replace egg conveyor parts (2weeks)</t>
  </si>
  <si>
    <t>Mini chiller 2x Ascon 112,600 R410A Inverter BTU 10 weeks</t>
  </si>
  <si>
    <t>Mai Nichi</t>
  </si>
  <si>
    <t>Egg Packer</t>
  </si>
  <si>
    <t>Egg lift elevator eggsmart (8weeks)</t>
  </si>
  <si>
    <t>Water tank 1,000GLx5 5,000GLx5 10,000GLx1
(Weida Poly tank same chicken farm Average 4-5rm/gallon not include concrete platform)</t>
  </si>
  <si>
    <t>Chau Yang farm</t>
  </si>
  <si>
    <t>Gallon</t>
  </si>
  <si>
    <t>Sin Sam Suan</t>
  </si>
  <si>
    <t>Aerator 15kW Water Treatment, not include earthwork 2 pond 24x24x3.5m  included SST</t>
  </si>
  <si>
    <t>kw</t>
  </si>
  <si>
    <t>Viro (Midori)</t>
  </si>
  <si>
    <t>Setia Alam Permit</t>
  </si>
  <si>
    <t>Account</t>
  </si>
  <si>
    <t>Setia Alam</t>
  </si>
  <si>
    <t>Zoning - Land title before KM/BP Lot 970 &amp; 971 (Labu)</t>
  </si>
  <si>
    <t>Labu</t>
  </si>
  <si>
    <t>lot</t>
  </si>
  <si>
    <t>Segaris Ukur Konsultant Sdn Bhd</t>
  </si>
  <si>
    <t>KLUANG REFIT BIOGAS MAN ENGINE 250Kw 99,510THB</t>
  </si>
  <si>
    <t>The Golden Line</t>
  </si>
  <si>
    <t>Replace Chiller Bio-Gas Gen 1</t>
  </si>
  <si>
    <t>MTC TEchnics</t>
  </si>
  <si>
    <t>Genset 500KVA (Replace)</t>
  </si>
  <si>
    <t>Tendering</t>
  </si>
  <si>
    <t>KVA</t>
  </si>
  <si>
    <t>Renggam</t>
  </si>
  <si>
    <t>Sedili</t>
  </si>
  <si>
    <t>Dismantle existing Incubator 9 Setters &amp; 9 Hatchers
Dismantle chiller &amp; re-install</t>
  </si>
  <si>
    <t>PU Floor Hatchery 248m2</t>
  </si>
  <si>
    <t>Trion Industrial</t>
  </si>
  <si>
    <t>Fire Wall 320m2</t>
  </si>
  <si>
    <t>Waiting tender by pantavanij</t>
  </si>
  <si>
    <t>Fencing Lagoon for biogas 100m(L) x 3m(H)</t>
  </si>
  <si>
    <t>New Control room</t>
  </si>
  <si>
    <t>Pre tender by 2/10/2025</t>
  </si>
  <si>
    <t>Mixer upgrade to 4 T/hr Installation (ex. Electric)</t>
  </si>
  <si>
    <t>VO for buy softstarter</t>
  </si>
  <si>
    <t>Breeder House size 14 x 150 x 2.7
total 4 houses , Equipment 4.8M</t>
  </si>
  <si>
    <t>Main Conveyor 3 Unit</t>
  </si>
  <si>
    <t>MORILLON PARTS 50k USD + KPI Supervisor 12k USD</t>
  </si>
  <si>
    <t>KPI</t>
  </si>
  <si>
    <t>Redo Door Works For Layer Chicken House</t>
  </si>
  <si>
    <t>Renovate canteen, Surau and Toilet</t>
  </si>
  <si>
    <t>tender on 10/11/2025</t>
  </si>
  <si>
    <t>6 Unit Hostel and Toilet Renovate</t>
  </si>
  <si>
    <t>Main egg conveyor phase 1, 4 1 unit</t>
  </si>
  <si>
    <t>tender on 10/11/2026</t>
  </si>
  <si>
    <t>Capacitor Bank An Xin</t>
  </si>
  <si>
    <t>An Xin Meranti</t>
  </si>
  <si>
    <t>tender on 10/11/2027</t>
  </si>
  <si>
    <t>An Xin SS15 Renovation for meat showcase 2.88m2</t>
  </si>
  <si>
    <t>An Xin SS15</t>
  </si>
  <si>
    <t>tender on 10/11/2028</t>
  </si>
  <si>
    <t>Slope protection</t>
  </si>
  <si>
    <t>tender on 10/11/2029</t>
  </si>
  <si>
    <t>Chimney dust collector</t>
  </si>
  <si>
    <t>tender on 10/11/2030</t>
  </si>
  <si>
    <t>An Xin Taman Aman</t>
  </si>
  <si>
    <t>tender on 10/11/2031</t>
  </si>
  <si>
    <t>Kota Hatchery Renovation phase 2-3 internal work</t>
  </si>
  <si>
    <t>tender on 10/11/2032</t>
  </si>
  <si>
    <t>Kota TNB ( contractor) 1,000A HDD Cable</t>
  </si>
  <si>
    <t>Designing</t>
  </si>
  <si>
    <t>tender on 10/11/2033</t>
  </si>
  <si>
    <t>Renovate Roof and Engineering Office 8x16</t>
  </si>
  <si>
    <t>tender on 10/11/2034</t>
  </si>
  <si>
    <t>Renovate canteen, Surau and Toilet 8x18</t>
  </si>
  <si>
    <t>tender on 10/11/2035</t>
  </si>
  <si>
    <t>Breeder House size 14 x 126 x 2.7
House 7,8,9 By 31 October 2025
equipment 3.6M</t>
  </si>
  <si>
    <t>tender on 10/11/2036</t>
  </si>
  <si>
    <t>Genset 750KVA  (Replace)</t>
  </si>
  <si>
    <t>tender on 10/11/2037</t>
  </si>
  <si>
    <t>tender on 10/11/2038</t>
  </si>
  <si>
    <t>TTM Fire store room 9x8.5</t>
  </si>
  <si>
    <t>tender on 10/11/2039</t>
  </si>
  <si>
    <t>Desaru Packer 600,000 eggs/day (NABEL 2 units)</t>
  </si>
  <si>
    <t>Land survey to Apply business license</t>
  </si>
  <si>
    <t>Feed Cleaner CPM 6036 38,001USD -&gt; 34,000USD CFR PKF</t>
  </si>
  <si>
    <t>Premix from intake, Mixer to packing 9T/days</t>
  </si>
  <si>
    <t>CPM</t>
  </si>
  <si>
    <t>Broiler OEM 8 houses x 30,000 Birds</t>
  </si>
  <si>
    <t>Yong Peng</t>
  </si>
  <si>
    <t>Birds</t>
  </si>
  <si>
    <t>Bird counter by SensorHaus 400,000THB in Thailand</t>
  </si>
  <si>
    <t>Fire Fighting System in PKF 1st phase of 3 phase</t>
  </si>
  <si>
    <t>IQF 1,200 kg/hr Foundation</t>
  </si>
  <si>
    <t>Sampling roof</t>
  </si>
  <si>
    <t>Guard House</t>
  </si>
  <si>
    <t xml:space="preserve">Manager House </t>
  </si>
  <si>
    <t>Kluang TNB 1,800A MV TNB to Transformer</t>
  </si>
  <si>
    <t>Kluang TNB Fencing BRC 30m/run</t>
  </si>
  <si>
    <t>Kluang BRC Fencing TNB 30m/run</t>
  </si>
  <si>
    <t>Kluang TNB 1,800A HDD to TNB</t>
  </si>
  <si>
    <t>New office est. 138m2</t>
  </si>
  <si>
    <t>Storage Room Egg Grading (12 x 7 m)</t>
  </si>
  <si>
    <t xml:space="preserve">Divert water washing farm to water pond </t>
  </si>
  <si>
    <t>G1 - 10HP aircond for coldroom x 2 units</t>
  </si>
  <si>
    <t>Pending quotation from Sui Yuen</t>
  </si>
  <si>
    <t>G1 - 10HP aircond for Setter and Hatcher x 2 units</t>
  </si>
  <si>
    <t>Hatchery Chain Link Fencing 260m</t>
  </si>
  <si>
    <t>Pending PRPO CDS</t>
  </si>
  <si>
    <t>New TNB Set &amp; Auto Genset</t>
  </si>
  <si>
    <t>Biogas Sludge cleaning</t>
  </si>
  <si>
    <t>UrgeNT ORDER Repair Roof damage 18x21</t>
  </si>
  <si>
    <t>PU Floor  4mm thick PU MF 1050 m2</t>
  </si>
  <si>
    <t>Kuala Kangsar</t>
  </si>
  <si>
    <t>Arrange for pre-tender</t>
  </si>
  <si>
    <t>30/10/2025</t>
  </si>
  <si>
    <t>An Xin Cheras Yulek 4.5x12m2</t>
  </si>
  <si>
    <t>An Xin Cheras</t>
  </si>
  <si>
    <t>30/10/2026</t>
  </si>
  <si>
    <t>Renovate Office</t>
  </si>
  <si>
    <t>not required</t>
  </si>
  <si>
    <t>30/10/2027</t>
  </si>
  <si>
    <t>To supply only excavator long arm and manpower for open lagoon</t>
  </si>
  <si>
    <t>30/10/2028</t>
  </si>
  <si>
    <t>Supply machinery for excavate 2 units water pond {Pond 1: 50m x 100m x 4m (D) , Pond 2 : 25m x 100m x 4m(D)}</t>
  </si>
  <si>
    <t>30/10/2029</t>
  </si>
  <si>
    <t>Kota Hatchery Renovation phase 4 external work</t>
  </si>
  <si>
    <t>30/10/2030</t>
  </si>
  <si>
    <t>To supply and build 1 unit new car spray {Size: 5m (W) x 15m (L) x 4.5m(H) }  Q2</t>
  </si>
  <si>
    <t>30/10/2031</t>
  </si>
  <si>
    <t>Renovate control room</t>
  </si>
  <si>
    <t>30/10/2032</t>
  </si>
  <si>
    <t>Coffee Stall 3.6x5.3 (Five star coffee)</t>
  </si>
  <si>
    <t>UPM</t>
  </si>
  <si>
    <t>30/10/2033</t>
  </si>
  <si>
    <t>Roof 16x26m2 for Centralised Silo 18T 4sets</t>
  </si>
  <si>
    <t>30/10/2034</t>
  </si>
  <si>
    <t>G1-Chemical Room follow requirement DVS &amp; JKKP 5x6m2</t>
  </si>
  <si>
    <t>30/10/2035</t>
  </si>
  <si>
    <t>CYF Fencing 2,110m and drainage 1,030m</t>
  </si>
  <si>
    <t>30/10/2036</t>
  </si>
  <si>
    <t>Office &amp; Spray Room 10x30m2 + 6x15m2</t>
  </si>
  <si>
    <t>Renovation Spray Vehicle &amp; 10x Spray Room Entrance</t>
  </si>
  <si>
    <t>Guard House Renovation</t>
  </si>
  <si>
    <t>Sayong</t>
  </si>
  <si>
    <t>Hot water Boiler Biogas 500L tank+500k Diesel burner
( 2 contractors only)</t>
  </si>
  <si>
    <t>G2-Improvement Sand Trap for bio-gas</t>
  </si>
  <si>
    <t>Office Renovation</t>
  </si>
  <si>
    <t xml:space="preserve">Warehouse Bird Net </t>
  </si>
  <si>
    <t>Concrete Paving Work at Dump Egg Grading</t>
  </si>
  <si>
    <t>Hostel Extension</t>
  </si>
  <si>
    <t>Silo Roof Exhaust Fan D102-D105</t>
  </si>
  <si>
    <t>2nd Bin Stiffener 3 stiffener 36m</t>
  </si>
  <si>
    <t>Modified Bin Cover for CCTV</t>
  </si>
  <si>
    <t>pcs</t>
  </si>
  <si>
    <t>KH Maju</t>
  </si>
  <si>
    <t>500 KW Biogas Generator</t>
  </si>
  <si>
    <t>Conveyor after mixer 100T/hr L= 7.5m</t>
  </si>
  <si>
    <t>BD for preventive maintenance and replacement , focusing on houses 5 to 8 and replacement cages at house 7
Spare parts H5-8 810,000 MYR
Replacement cages H7 150,000 MYR
Lead time was confirmed as 5 weeks for cage replacement and 3 weeks per house for preventive maintenance, with a completion target by mid-November to avoid extended repair delays</t>
  </si>
  <si>
    <t>Hoses</t>
  </si>
  <si>
    <t>PKF Silo Senior Site Agent 2 months</t>
  </si>
  <si>
    <t>Months</t>
  </si>
  <si>
    <t>Sinarunding</t>
  </si>
  <si>
    <t>New staff house Q3</t>
  </si>
  <si>
    <t>Warehouse 700m2</t>
  </si>
  <si>
    <t>Lab Renovation</t>
  </si>
  <si>
    <t>Sachet Dispensor Sauce Pack- frying line Korean SKU 540pkt/hr to 2,700pkt/hr (by MT Food)</t>
  </si>
  <si>
    <t>G2-Renovate Spray shower room 1 unit</t>
  </si>
  <si>
    <t>G2-Replace chicken dunk pipe to V shape concrete drainage to lagoon</t>
  </si>
  <si>
    <t>Main road fencing (use old zink from H3 Tampin &amp; H3 Kota) Q2</t>
  </si>
  <si>
    <t>Asphalt road Q4</t>
  </si>
  <si>
    <t>Improve Bomba system</t>
  </si>
  <si>
    <t>Toilet Renovation</t>
  </si>
  <si>
    <t>m4</t>
  </si>
  <si>
    <t>M shah</t>
  </si>
  <si>
    <t>Pelletizer</t>
  </si>
  <si>
    <t>SBM 3000T concrete silo</t>
  </si>
  <si>
    <t>PU floor Hatchery 380m2</t>
  </si>
  <si>
    <t>Tampin &amp; Hi-Voltage TNB over the land</t>
  </si>
  <si>
    <t>Boiler Economizer</t>
  </si>
  <si>
    <t>Butterworth</t>
  </si>
  <si>
    <t>Permit KM&amp;BP Port Klang Feedmill</t>
  </si>
  <si>
    <t>IWK CYF 80PE</t>
  </si>
  <si>
    <t>Upgrade TNB</t>
  </si>
  <si>
    <t>Feather meal - Rendering cooker 1,600kg</t>
  </si>
  <si>
    <t>New Staff House 1 unit</t>
  </si>
  <si>
    <t>Renovate Office 1 Unit</t>
  </si>
  <si>
    <t>Renovate Car Spray</t>
  </si>
  <si>
    <t>Fencing With Zink</t>
  </si>
  <si>
    <t>New Store 1 unit (2 sections storage &amp; chemical)</t>
  </si>
  <si>
    <t xml:space="preserve">New lighting Line in Chicken House </t>
  </si>
  <si>
    <t>New water Nipple Line 1</t>
  </si>
  <si>
    <t>CCTV Farm &amp; Office</t>
  </si>
  <si>
    <t>New Fan 1 Set</t>
  </si>
  <si>
    <t xml:space="preserve">Renovate Office </t>
  </si>
  <si>
    <t>Renovate Car Spray 1 Unit</t>
  </si>
  <si>
    <t>Renovate Manager House</t>
  </si>
  <si>
    <t>Renovate Staff Hostel</t>
  </si>
  <si>
    <t>New Store</t>
  </si>
  <si>
    <t>Store for Keep boat</t>
  </si>
  <si>
    <t>Container Roof</t>
  </si>
  <si>
    <t>New Egg Grading Roof</t>
  </si>
  <si>
    <t>Mostor Mixer Pond Sumarin</t>
  </si>
  <si>
    <t>Air Conditioner 10HP for Grading</t>
  </si>
  <si>
    <t>CCTV Grading</t>
  </si>
  <si>
    <t>Biogas chiller</t>
  </si>
  <si>
    <t>Biogas UPS</t>
  </si>
  <si>
    <t>Improvement Sandtrap 1 unit</t>
  </si>
  <si>
    <t>Hostel and Toilet Renovation</t>
  </si>
  <si>
    <t>Office and Canteen Renovate</t>
  </si>
  <si>
    <t>Thermoforming Retrofity by Multivac</t>
  </si>
  <si>
    <t>Cold Room 10 HP AC</t>
  </si>
  <si>
    <t>HP</t>
  </si>
  <si>
    <t>Mai-Nichi</t>
  </si>
  <si>
    <t>Hatchery and Setter 10HP AC</t>
  </si>
  <si>
    <t>Warehouse Roof Ridge Ventilator Dismantle, Fabrication and Installation</t>
  </si>
  <si>
    <t xml:space="preserve">Guard House Renovation </t>
  </si>
  <si>
    <t xml:space="preserve">Incoming Electrical Supply H17-H19 </t>
  </si>
  <si>
    <t>Renovate Toilet(12' x 13') Pending KM</t>
  </si>
  <si>
    <t>Desaru 2 500,000Birds 2Pullets +8Layers Equipment 65% Building 35%</t>
  </si>
  <si>
    <t>Consultant Desaru2</t>
  </si>
  <si>
    <t>Site Clearing</t>
  </si>
  <si>
    <t>CYF 1500 Sows</t>
  </si>
  <si>
    <t>Sows</t>
  </si>
  <si>
    <t>SAJ (Water supply)</t>
  </si>
  <si>
    <t>Renovate Cooling pad 6houses</t>
  </si>
  <si>
    <t xml:space="preserve">Cancel </t>
  </si>
  <si>
    <t>Millenium</t>
  </si>
  <si>
    <t>m4/hr</t>
  </si>
  <si>
    <t>Wattyl</t>
  </si>
  <si>
    <t>CP M&amp;E</t>
  </si>
  <si>
    <t>PKF Pre-mixing production line</t>
  </si>
  <si>
    <t>Set</t>
  </si>
  <si>
    <t>Fire protection system to get Bomba CCC</t>
  </si>
  <si>
    <t>Manager House Renovation</t>
  </si>
  <si>
    <t>Summary project on hand, 2025</t>
  </si>
  <si>
    <t>month</t>
  </si>
  <si>
    <t>Design</t>
  </si>
  <si>
    <t>Tender</t>
  </si>
  <si>
    <t>Constuction</t>
  </si>
  <si>
    <t>Value of tender</t>
  </si>
  <si>
    <t>Jan</t>
  </si>
  <si>
    <t>Feb</t>
  </si>
  <si>
    <t>Mar</t>
  </si>
  <si>
    <t>Apr</t>
  </si>
  <si>
    <t>Canteen Port klang , Hopper Johor, An Xin Subang, Dormitory Desaru</t>
  </si>
  <si>
    <t>May</t>
  </si>
  <si>
    <t>Jun</t>
  </si>
  <si>
    <t xml:space="preserve">Jul </t>
  </si>
  <si>
    <t>Aug</t>
  </si>
  <si>
    <t>Aug (est.)</t>
  </si>
  <si>
    <t>General Affairs OCM 01/2025</t>
  </si>
  <si>
    <t>KM&amp;BP</t>
  </si>
  <si>
    <t>CCC</t>
  </si>
  <si>
    <t>FIre Certificate</t>
  </si>
  <si>
    <t>Cerificate 
Worker Hostel</t>
  </si>
  <si>
    <t>Total</t>
  </si>
  <si>
    <t xml:space="preserve">Tendering </t>
  </si>
  <si>
    <t>Total(no.)</t>
  </si>
  <si>
    <t>OCM 01/2025</t>
  </si>
  <si>
    <t>Feed Business</t>
  </si>
  <si>
    <t>Farm &amp; Integration</t>
  </si>
  <si>
    <t>Food Business</t>
  </si>
  <si>
    <t>Swine Business</t>
  </si>
  <si>
    <t>Finished</t>
  </si>
  <si>
    <t>Under Construction</t>
  </si>
  <si>
    <t>Progress</t>
  </si>
  <si>
    <t>%Remain</t>
  </si>
  <si>
    <t>Construction</t>
  </si>
  <si>
    <t>Total(RM)</t>
  </si>
  <si>
    <t>OCM 02/2025</t>
  </si>
  <si>
    <t>OCM 03/2025</t>
  </si>
  <si>
    <t>Designing &amp; Consulting</t>
  </si>
  <si>
    <t>OCM 04/2025</t>
  </si>
  <si>
    <t>OCM 05/2025</t>
  </si>
  <si>
    <t>OCM 06/2025</t>
  </si>
  <si>
    <t>OCM 07/2025</t>
  </si>
  <si>
    <t>OCM 08/2025</t>
  </si>
  <si>
    <t>OCM 09/2025</t>
  </si>
  <si>
    <t>Column1</t>
  </si>
  <si>
    <t>Jan-25</t>
  </si>
  <si>
    <t>Feb-25</t>
  </si>
  <si>
    <t>Mac-25</t>
  </si>
  <si>
    <t>Apr-25</t>
  </si>
  <si>
    <t>May-25</t>
  </si>
  <si>
    <t>Jun-25</t>
  </si>
  <si>
    <t>Jul-25</t>
  </si>
  <si>
    <t>Aug-25</t>
  </si>
  <si>
    <t>Sep-25</t>
  </si>
  <si>
    <t>Construction Complete</t>
  </si>
  <si>
    <t xml:space="preserve">Construction Ongoing </t>
  </si>
  <si>
    <t>Total Value(RM)</t>
  </si>
  <si>
    <t>Construction done</t>
  </si>
  <si>
    <t>Construction Ongoing</t>
  </si>
  <si>
    <t>Average (RM/project)</t>
  </si>
  <si>
    <t>Dec-24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</si>
</sst>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(* #,##0_);_(* \(#,##0\);_(* &quot;-&quot;??_);_(@_)"/>
    <numFmt numFmtId="179" formatCode="_-* #,##0_-;\-* #,##0_-;_-* &quot;-&quot;??_-;_-@_-"/>
    <numFmt numFmtId="180" formatCode="dd/mm/yyyy"/>
    <numFmt numFmtId="181" formatCode="[$-409]d\-mmm\-yy;@"/>
  </numFmts>
  <fonts count="3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rgb="FF242424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rgb="FF000000"/>
      <name val="Calibri"/>
      <charset val="134"/>
    </font>
    <font>
      <b/>
      <sz val="11"/>
      <color rgb="FFFF0000"/>
      <name val="Calibri"/>
      <charset val="134"/>
      <scheme val="minor"/>
    </font>
    <font>
      <sz val="11"/>
      <color rgb="FFC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2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32" applyNumberFormat="0" applyAlignment="0" applyProtection="0">
      <alignment vertical="center"/>
    </xf>
    <xf numFmtId="0" fontId="26" fillId="10" borderId="33" applyNumberFormat="0" applyAlignment="0" applyProtection="0">
      <alignment vertical="center"/>
    </xf>
    <xf numFmtId="0" fontId="27" fillId="10" borderId="32" applyNumberFormat="0" applyAlignment="0" applyProtection="0">
      <alignment vertical="center"/>
    </xf>
    <xf numFmtId="0" fontId="28" fillId="11" borderId="34" applyNumberFormat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30" fillId="0" borderId="36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0" borderId="0"/>
  </cellStyleXfs>
  <cellXfs count="20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8" fontId="0" fillId="0" borderId="0" xfId="49" applyNumberFormat="1" applyFont="1" applyAlignment="1">
      <alignment vertical="center"/>
    </xf>
    <xf numFmtId="179" fontId="0" fillId="0" borderId="0" xfId="1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78" fontId="0" fillId="0" borderId="0" xfId="49" applyNumberFormat="1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vertical="center"/>
    </xf>
    <xf numFmtId="178" fontId="1" fillId="0" borderId="0" xfId="49" applyNumberFormat="1" applyFont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178" fontId="0" fillId="0" borderId="14" xfId="49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49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" fillId="0" borderId="17" xfId="0" applyFont="1" applyBorder="1" applyAlignment="1">
      <alignment vertical="center"/>
    </xf>
    <xf numFmtId="178" fontId="0" fillId="0" borderId="0" xfId="49" applyNumberFormat="1" applyFont="1" applyBorder="1" applyAlignment="1">
      <alignment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178" fontId="0" fillId="0" borderId="21" xfId="49" applyNumberFormat="1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178" fontId="1" fillId="0" borderId="0" xfId="49" applyNumberFormat="1" applyFont="1" applyAlignment="1">
      <alignment horizontal="center" vertical="center"/>
    </xf>
    <xf numFmtId="0" fontId="0" fillId="0" borderId="18" xfId="0" applyBorder="1" applyAlignment="1">
      <alignment vertical="center"/>
    </xf>
    <xf numFmtId="178" fontId="0" fillId="0" borderId="0" xfId="0" applyNumberFormat="1" applyAlignment="1">
      <alignment vertical="center"/>
    </xf>
    <xf numFmtId="178" fontId="1" fillId="0" borderId="0" xfId="0" applyNumberFormat="1" applyFont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178" fontId="0" fillId="0" borderId="23" xfId="49" applyNumberFormat="1" applyFont="1" applyBorder="1" applyAlignment="1">
      <alignment vertical="center"/>
    </xf>
    <xf numFmtId="3" fontId="4" fillId="0" borderId="0" xfId="0" applyNumberFormat="1" applyFont="1"/>
    <xf numFmtId="179" fontId="0" fillId="0" borderId="0" xfId="0" applyNumberFormat="1" applyAlignment="1">
      <alignment vertical="center"/>
    </xf>
    <xf numFmtId="3" fontId="5" fillId="0" borderId="0" xfId="0" applyNumberFormat="1" applyFont="1"/>
    <xf numFmtId="179" fontId="1" fillId="0" borderId="0" xfId="1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79" fontId="0" fillId="0" borderId="23" xfId="1" applyNumberFormat="1" applyFont="1" applyBorder="1" applyAlignment="1">
      <alignment vertical="center"/>
    </xf>
    <xf numFmtId="179" fontId="1" fillId="0" borderId="0" xfId="0" applyNumberFormat="1" applyFont="1" applyAlignment="1">
      <alignment vertical="center"/>
    </xf>
    <xf numFmtId="179" fontId="0" fillId="0" borderId="0" xfId="1" applyNumberFormat="1" applyFont="1" applyAlignment="1">
      <alignment horizontal="center" vertical="center"/>
    </xf>
    <xf numFmtId="0" fontId="0" fillId="0" borderId="24" xfId="0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9" fontId="1" fillId="0" borderId="25" xfId="3" applyFont="1" applyBorder="1" applyAlignment="1">
      <alignment horizontal="center" vertical="center"/>
    </xf>
    <xf numFmtId="179" fontId="0" fillId="0" borderId="25" xfId="1" applyNumberFormat="1" applyFont="1" applyBorder="1" applyAlignment="1">
      <alignment vertical="center"/>
    </xf>
    <xf numFmtId="179" fontId="1" fillId="0" borderId="25" xfId="1" applyNumberFormat="1" applyFont="1" applyBorder="1" applyAlignment="1">
      <alignment vertical="center"/>
    </xf>
    <xf numFmtId="179" fontId="0" fillId="0" borderId="26" xfId="1" applyNumberFormat="1" applyFont="1" applyBorder="1" applyAlignment="1">
      <alignment vertical="center"/>
    </xf>
    <xf numFmtId="0" fontId="0" fillId="5" borderId="0" xfId="0" applyFill="1" applyAlignment="1">
      <alignment vertical="center"/>
    </xf>
    <xf numFmtId="178" fontId="0" fillId="5" borderId="0" xfId="49" applyNumberFormat="1" applyFont="1" applyFill="1" applyAlignment="1">
      <alignment vertical="center"/>
    </xf>
    <xf numFmtId="17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3" fontId="4" fillId="5" borderId="0" xfId="0" applyNumberFormat="1" applyFont="1" applyFill="1"/>
    <xf numFmtId="179" fontId="0" fillId="5" borderId="0" xfId="0" applyNumberFormat="1" applyFill="1" applyAlignment="1">
      <alignment vertical="center"/>
    </xf>
    <xf numFmtId="179" fontId="0" fillId="5" borderId="0" xfId="1" applyNumberFormat="1" applyFont="1" applyFill="1" applyAlignment="1">
      <alignment vertical="center"/>
    </xf>
    <xf numFmtId="179" fontId="5" fillId="0" borderId="0" xfId="1" applyNumberFormat="1" applyFont="1"/>
    <xf numFmtId="179" fontId="4" fillId="0" borderId="0" xfId="1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0" fontId="1" fillId="0" borderId="0" xfId="3" applyNumberFormat="1" applyFont="1" applyAlignment="1">
      <alignment horizontal="center" vertical="center"/>
    </xf>
    <xf numFmtId="180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76" fontId="0" fillId="0" borderId="0" xfId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shrinkToFit="1"/>
    </xf>
    <xf numFmtId="10" fontId="2" fillId="0" borderId="0" xfId="3" applyNumberFormat="1" applyFont="1" applyAlignment="1">
      <alignment horizontal="center" vertical="center"/>
    </xf>
    <xf numFmtId="179" fontId="2" fillId="0" borderId="0" xfId="1" applyNumberFormat="1" applyFont="1" applyFill="1" applyBorder="1" applyAlignment="1">
      <alignment horizontal="center" vertical="center"/>
    </xf>
    <xf numFmtId="179" fontId="9" fillId="0" borderId="0" xfId="1" applyNumberFormat="1" applyFont="1" applyFill="1" applyBorder="1" applyAlignment="1">
      <alignment horizontal="center" vertical="center" wrapText="1"/>
    </xf>
    <xf numFmtId="179" fontId="10" fillId="0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179" fontId="1" fillId="0" borderId="0" xfId="1" applyNumberFormat="1" applyFont="1" applyFill="1" applyBorder="1" applyAlignment="1">
      <alignment horizontal="center" vertical="center"/>
    </xf>
    <xf numFmtId="179" fontId="0" fillId="0" borderId="0" xfId="1" applyNumberFormat="1" applyFont="1" applyFill="1" applyBorder="1" applyAlignment="1">
      <alignment horizontal="center" vertical="center"/>
    </xf>
    <xf numFmtId="179" fontId="7" fillId="0" borderId="0" xfId="1" applyNumberFormat="1" applyFont="1" applyFill="1" applyBorder="1" applyAlignment="1">
      <alignment vertical="center" wrapText="1"/>
    </xf>
    <xf numFmtId="10" fontId="1" fillId="0" borderId="0" xfId="3" applyNumberFormat="1" applyFont="1" applyAlignment="1">
      <alignment horizontal="center" vertical="center" shrinkToFit="1"/>
    </xf>
    <xf numFmtId="179" fontId="1" fillId="0" borderId="0" xfId="49" applyNumberFormat="1" applyFont="1" applyFill="1" applyBorder="1" applyAlignment="1">
      <alignment vertical="center"/>
    </xf>
    <xf numFmtId="179" fontId="0" fillId="0" borderId="0" xfId="1" applyNumberFormat="1" applyFont="1" applyFill="1" applyBorder="1" applyAlignment="1">
      <alignment vertical="center"/>
    </xf>
    <xf numFmtId="10" fontId="1" fillId="0" borderId="0" xfId="3" applyNumberFormat="1" applyFont="1" applyAlignment="1">
      <alignment horizontal="center" vertical="center" wrapText="1"/>
    </xf>
    <xf numFmtId="179" fontId="1" fillId="0" borderId="0" xfId="49" applyNumberFormat="1" applyFont="1" applyFill="1" applyBorder="1" applyAlignment="1">
      <alignment horizontal="center" vertical="center"/>
    </xf>
    <xf numFmtId="179" fontId="7" fillId="0" borderId="0" xfId="49" applyNumberFormat="1" applyFont="1" applyFill="1" applyBorder="1" applyAlignment="1">
      <alignment horizontal="center" vertical="center" wrapText="1"/>
    </xf>
    <xf numFmtId="179" fontId="7" fillId="0" borderId="0" xfId="49" applyNumberFormat="1" applyFont="1" applyFill="1" applyBorder="1" applyAlignment="1">
      <alignment vertical="center"/>
    </xf>
    <xf numFmtId="10" fontId="8" fillId="0" borderId="0" xfId="3" applyNumberFormat="1" applyFont="1" applyAlignment="1">
      <alignment horizontal="center" vertical="center" wrapText="1"/>
    </xf>
    <xf numFmtId="179" fontId="7" fillId="0" borderId="0" xfId="49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179" fontId="1" fillId="0" borderId="0" xfId="1" applyNumberFormat="1" applyFont="1" applyFill="1" applyAlignment="1">
      <alignment horizontal="center" vertical="center"/>
    </xf>
    <xf numFmtId="179" fontId="7" fillId="0" borderId="0" xfId="1" applyNumberFormat="1" applyFont="1" applyFill="1" applyAlignment="1">
      <alignment vertical="center" wrapText="1"/>
    </xf>
    <xf numFmtId="179" fontId="1" fillId="0" borderId="0" xfId="1" applyNumberFormat="1" applyFont="1" applyAlignment="1">
      <alignment horizontal="center" vertical="center"/>
    </xf>
    <xf numFmtId="179" fontId="0" fillId="0" borderId="0" xfId="1" applyNumberFormat="1" applyFont="1" applyFill="1" applyAlignment="1">
      <alignment horizontal="center" vertical="center"/>
    </xf>
    <xf numFmtId="179" fontId="12" fillId="0" borderId="0" xfId="49" applyNumberFormat="1" applyFont="1" applyFill="1" applyBorder="1" applyAlignment="1">
      <alignment horizontal="right" vertical="center"/>
    </xf>
    <xf numFmtId="179" fontId="3" fillId="0" borderId="0" xfId="1" applyNumberFormat="1" applyFont="1" applyFill="1" applyBorder="1" applyAlignment="1">
      <alignment horizontal="right" vertical="center"/>
    </xf>
    <xf numFmtId="179" fontId="3" fillId="0" borderId="0" xfId="49" applyNumberFormat="1" applyFont="1" applyFill="1" applyBorder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79" fontId="1" fillId="0" borderId="0" xfId="1" applyNumberFormat="1" applyFont="1" applyFill="1" applyBorder="1" applyAlignment="1">
      <alignment vertical="center"/>
    </xf>
    <xf numFmtId="10" fontId="1" fillId="0" borderId="0" xfId="3" applyNumberFormat="1" applyFont="1" applyFill="1" applyAlignment="1">
      <alignment horizontal="center" vertical="center" wrapText="1"/>
    </xf>
    <xf numFmtId="179" fontId="0" fillId="0" borderId="0" xfId="1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 shrinkToFit="1"/>
    </xf>
    <xf numFmtId="10" fontId="1" fillId="0" borderId="0" xfId="3" applyNumberFormat="1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180" fontId="13" fillId="0" borderId="0" xfId="1" applyNumberFormat="1" applyFont="1" applyFill="1" applyBorder="1" applyAlignment="1">
      <alignment horizontal="center" vertical="center" wrapText="1"/>
    </xf>
    <xf numFmtId="179" fontId="13" fillId="0" borderId="0" xfId="1" applyNumberFormat="1" applyFont="1" applyFill="1" applyBorder="1" applyAlignment="1">
      <alignment horizontal="center" vertical="center" wrapText="1"/>
    </xf>
    <xf numFmtId="176" fontId="9" fillId="0" borderId="0" xfId="1" applyFont="1" applyAlignment="1">
      <alignment horizontal="center" vertical="center" wrapText="1"/>
    </xf>
    <xf numFmtId="179" fontId="2" fillId="0" borderId="0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58" fontId="6" fillId="0" borderId="0" xfId="1" applyNumberFormat="1" applyFont="1" applyFill="1" applyBorder="1" applyAlignment="1">
      <alignment vertical="center" wrapText="1"/>
    </xf>
    <xf numFmtId="180" fontId="6" fillId="0" borderId="0" xfId="1" applyNumberFormat="1" applyFont="1" applyFill="1" applyBorder="1" applyAlignment="1">
      <alignment vertical="center" wrapText="1"/>
    </xf>
    <xf numFmtId="176" fontId="0" fillId="0" borderId="0" xfId="1" applyFont="1" applyFill="1" applyBorder="1" applyAlignment="1">
      <alignment vertical="center"/>
    </xf>
    <xf numFmtId="179" fontId="0" fillId="0" borderId="0" xfId="1" applyNumberFormat="1" applyFont="1" applyFill="1" applyBorder="1" applyAlignment="1">
      <alignment horizontal="center" vertical="center" wrapText="1"/>
    </xf>
    <xf numFmtId="176" fontId="0" fillId="0" borderId="0" xfId="1" applyFont="1" applyFill="1" applyBorder="1" applyAlignment="1">
      <alignment horizontal="right" vertical="center" wrapText="1"/>
    </xf>
    <xf numFmtId="179" fontId="0" fillId="0" borderId="0" xfId="49" applyNumberFormat="1" applyFont="1" applyFill="1" applyBorder="1" applyAlignment="1">
      <alignment horizontal="center" vertical="center"/>
    </xf>
    <xf numFmtId="176" fontId="0" fillId="0" borderId="0" xfId="1" applyFont="1" applyFill="1" applyBorder="1" applyAlignment="1">
      <alignment horizontal="center" vertical="center"/>
    </xf>
    <xf numFmtId="179" fontId="0" fillId="0" borderId="0" xfId="49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179" fontId="8" fillId="0" borderId="0" xfId="49" applyNumberFormat="1" applyFont="1" applyFill="1" applyBorder="1" applyAlignment="1">
      <alignment vertical="center" wrapText="1"/>
    </xf>
    <xf numFmtId="179" fontId="8" fillId="0" borderId="0" xfId="1" applyNumberFormat="1" applyFont="1" applyFill="1" applyBorder="1" applyAlignment="1">
      <alignment vertical="center" wrapText="1"/>
    </xf>
    <xf numFmtId="178" fontId="1" fillId="0" borderId="0" xfId="49" applyNumberFormat="1" applyFont="1" applyFill="1" applyBorder="1" applyAlignment="1">
      <alignment horizontal="center" vertical="center" wrapText="1"/>
    </xf>
    <xf numFmtId="179" fontId="8" fillId="0" borderId="0" xfId="1" applyNumberFormat="1" applyFont="1" applyFill="1" applyAlignment="1">
      <alignment vertical="center" wrapText="1"/>
    </xf>
    <xf numFmtId="176" fontId="0" fillId="0" borderId="0" xfId="1" applyFont="1" applyFill="1" applyAlignment="1">
      <alignment vertical="center"/>
    </xf>
    <xf numFmtId="179" fontId="1" fillId="0" borderId="0" xfId="1" applyNumberFormat="1" applyFont="1" applyFill="1" applyAlignment="1">
      <alignment vertical="center"/>
    </xf>
    <xf numFmtId="179" fontId="0" fillId="0" borderId="0" xfId="1" applyNumberFormat="1" applyFont="1" applyFill="1" applyAlignment="1">
      <alignment vertical="center"/>
    </xf>
    <xf numFmtId="179" fontId="3" fillId="0" borderId="0" xfId="1" applyNumberFormat="1" applyFont="1" applyFill="1" applyBorder="1" applyAlignment="1">
      <alignment horizontal="center" vertical="center" wrapText="1"/>
    </xf>
    <xf numFmtId="176" fontId="3" fillId="0" borderId="0" xfId="1" applyFont="1" applyFill="1" applyBorder="1" applyAlignment="1">
      <alignment horizontal="right" vertical="center" wrapText="1"/>
    </xf>
    <xf numFmtId="179" fontId="1" fillId="0" borderId="0" xfId="49" applyNumberFormat="1" applyFont="1" applyFill="1" applyAlignment="1">
      <alignment vertical="center"/>
    </xf>
    <xf numFmtId="179" fontId="8" fillId="0" borderId="0" xfId="49" applyNumberFormat="1" applyFont="1" applyFill="1" applyBorder="1" applyAlignment="1">
      <alignment vertical="center"/>
    </xf>
    <xf numFmtId="179" fontId="6" fillId="0" borderId="0" xfId="1" applyNumberFormat="1" applyFont="1" applyFill="1" applyBorder="1" applyAlignment="1">
      <alignment horizontal="center" vertical="center"/>
    </xf>
    <xf numFmtId="176" fontId="6" fillId="0" borderId="0" xfId="1" applyFont="1" applyFill="1" applyBorder="1" applyAlignment="1">
      <alignment vertical="center"/>
    </xf>
    <xf numFmtId="179" fontId="1" fillId="0" borderId="0" xfId="1" applyNumberFormat="1" applyFont="1" applyBorder="1" applyAlignment="1">
      <alignment vertical="center"/>
    </xf>
    <xf numFmtId="179" fontId="9" fillId="0" borderId="0" xfId="1" applyNumberFormat="1" applyFont="1" applyFill="1" applyBorder="1" applyAlignment="1">
      <alignment horizontal="center" vertical="center"/>
    </xf>
    <xf numFmtId="179" fontId="13" fillId="6" borderId="27" xfId="1" applyNumberFormat="1" applyFont="1" applyFill="1" applyBorder="1" applyAlignment="1">
      <alignment horizontal="center" vertical="center" wrapText="1"/>
    </xf>
    <xf numFmtId="179" fontId="0" fillId="0" borderId="0" xfId="1" applyNumberFormat="1" applyFont="1" applyFill="1" applyBorder="1" applyAlignment="1">
      <alignment horizontal="right" vertical="center"/>
    </xf>
    <xf numFmtId="181" fontId="0" fillId="0" borderId="0" xfId="0" applyNumberFormat="1" applyAlignment="1">
      <alignment horizontal="center" vertical="center"/>
    </xf>
    <xf numFmtId="179" fontId="7" fillId="0" borderId="0" xfId="1" applyNumberFormat="1" applyFont="1" applyFill="1" applyBorder="1" applyAlignment="1">
      <alignment vertical="center"/>
    </xf>
    <xf numFmtId="179" fontId="0" fillId="0" borderId="0" xfId="49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179" fontId="0" fillId="0" borderId="0" xfId="1" applyNumberFormat="1" applyFont="1" applyFill="1" applyAlignment="1">
      <alignment horizontal="right" vertical="center"/>
    </xf>
    <xf numFmtId="10" fontId="1" fillId="0" borderId="0" xfId="3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10" fontId="8" fillId="0" borderId="0" xfId="3" applyNumberFormat="1" applyFont="1" applyAlignment="1">
      <alignment horizontal="center" vertical="center"/>
    </xf>
    <xf numFmtId="179" fontId="8" fillId="0" borderId="0" xfId="1" applyNumberFormat="1" applyFont="1" applyFill="1" applyBorder="1" applyAlignment="1">
      <alignment horizontal="center" vertical="center"/>
    </xf>
    <xf numFmtId="179" fontId="7" fillId="0" borderId="0" xfId="0" applyNumberFormat="1" applyFont="1" applyAlignment="1">
      <alignment vertical="center" wrapText="1"/>
    </xf>
    <xf numFmtId="179" fontId="1" fillId="3" borderId="0" xfId="1" applyNumberFormat="1" applyFont="1" applyFill="1" applyBorder="1" applyAlignment="1">
      <alignment horizontal="center" vertical="center"/>
    </xf>
    <xf numFmtId="179" fontId="6" fillId="0" borderId="0" xfId="1" applyNumberFormat="1" applyFont="1" applyFill="1" applyBorder="1" applyAlignment="1">
      <alignment vertical="center" wrapText="1"/>
    </xf>
    <xf numFmtId="179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79" fontId="8" fillId="0" borderId="0" xfId="0" applyNumberFormat="1" applyFont="1" applyAlignment="1">
      <alignment vertical="center" wrapText="1"/>
    </xf>
    <xf numFmtId="179" fontId="0" fillId="0" borderId="0" xfId="0" applyNumberFormat="1" applyAlignment="1">
      <alignment horizontal="center" vertical="center"/>
    </xf>
    <xf numFmtId="179" fontId="7" fillId="7" borderId="0" xfId="1" applyNumberFormat="1" applyFont="1" applyFill="1" applyBorder="1" applyAlignment="1">
      <alignment vertical="center" wrapText="1"/>
    </xf>
    <xf numFmtId="179" fontId="0" fillId="0" borderId="0" xfId="0" applyNumberFormat="1"/>
    <xf numFmtId="176" fontId="0" fillId="7" borderId="0" xfId="1" applyFont="1" applyFill="1" applyBorder="1" applyAlignment="1">
      <alignment vertical="center"/>
    </xf>
    <xf numFmtId="179" fontId="8" fillId="0" borderId="0" xfId="1" applyNumberFormat="1" applyFont="1" applyFill="1" applyBorder="1" applyAlignment="1">
      <alignment vertical="center"/>
    </xf>
    <xf numFmtId="179" fontId="6" fillId="0" borderId="0" xfId="1" applyNumberFormat="1" applyFont="1" applyFill="1" applyBorder="1" applyAlignment="1">
      <alignment vertical="center"/>
    </xf>
    <xf numFmtId="178" fontId="0" fillId="0" borderId="0" xfId="0" applyNumberFormat="1" applyAlignment="1">
      <alignment horizontal="right" vertical="center"/>
    </xf>
    <xf numFmtId="0" fontId="0" fillId="7" borderId="0" xfId="0" applyFill="1" applyAlignment="1">
      <alignment vertical="center" wrapText="1"/>
    </xf>
    <xf numFmtId="3" fontId="0" fillId="0" borderId="0" xfId="0" applyNumberForma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0" fontId="15" fillId="0" borderId="0" xfId="3" applyNumberFormat="1" applyFont="1" applyAlignment="1">
      <alignment horizontal="center" vertical="center"/>
    </xf>
    <xf numFmtId="179" fontId="15" fillId="0" borderId="0" xfId="1" applyNumberFormat="1" applyFont="1" applyAlignment="1">
      <alignment vertical="center"/>
    </xf>
    <xf numFmtId="179" fontId="7" fillId="0" borderId="0" xfId="1" applyNumberFormat="1" applyFont="1" applyFill="1" applyBorder="1" applyAlignment="1">
      <alignment horizontal="center" vertical="center"/>
    </xf>
    <xf numFmtId="179" fontId="8" fillId="0" borderId="27" xfId="1" applyNumberFormat="1" applyFont="1" applyBorder="1" applyAlignment="1">
      <alignment vertical="center" wrapText="1"/>
    </xf>
    <xf numFmtId="180" fontId="8" fillId="0" borderId="27" xfId="0" applyNumberFormat="1" applyFont="1" applyBorder="1" applyAlignment="1">
      <alignment vertical="center"/>
    </xf>
    <xf numFmtId="58" fontId="8" fillId="0" borderId="27" xfId="1" applyNumberFormat="1" applyFont="1" applyBorder="1" applyAlignment="1">
      <alignment vertical="center" wrapText="1"/>
    </xf>
    <xf numFmtId="0" fontId="15" fillId="0" borderId="0" xfId="0" applyFont="1" applyAlignment="1">
      <alignment vertical="center"/>
    </xf>
    <xf numFmtId="179" fontId="15" fillId="0" borderId="0" xfId="1" applyNumberFormat="1" applyFont="1" applyBorder="1" applyAlignment="1">
      <alignment vertical="center"/>
    </xf>
    <xf numFmtId="0" fontId="7" fillId="0" borderId="0" xfId="0" applyFont="1"/>
    <xf numFmtId="179" fontId="16" fillId="0" borderId="0" xfId="1" applyNumberFormat="1" applyFont="1" applyFill="1" applyBorder="1" applyAlignment="1">
      <alignment horizontal="right" vertical="center"/>
    </xf>
    <xf numFmtId="179" fontId="7" fillId="0" borderId="0" xfId="1" applyNumberFormat="1" applyFont="1" applyAlignment="1">
      <alignment vertical="center"/>
    </xf>
    <xf numFmtId="0" fontId="7" fillId="0" borderId="0" xfId="0" applyFont="1" applyAlignment="1">
      <alignment horizontal="center" vertical="center" shrinkToFit="1"/>
    </xf>
    <xf numFmtId="10" fontId="15" fillId="0" borderId="0" xfId="3" applyNumberFormat="1" applyFont="1" applyFill="1" applyAlignment="1">
      <alignment horizontal="center" vertical="center"/>
    </xf>
    <xf numFmtId="179" fontId="15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shrinkToFit="1"/>
    </xf>
    <xf numFmtId="179" fontId="6" fillId="0" borderId="0" xfId="1" applyNumberFormat="1" applyFont="1" applyAlignment="1">
      <alignment horizontal="center" vertical="center"/>
    </xf>
    <xf numFmtId="176" fontId="7" fillId="0" borderId="0" xfId="1" applyFont="1" applyFill="1" applyBorder="1" applyAlignment="1">
      <alignment vertical="center"/>
    </xf>
    <xf numFmtId="179" fontId="15" fillId="0" borderId="0" xfId="1" applyNumberFormat="1" applyFont="1" applyFill="1" applyBorder="1" applyAlignment="1">
      <alignment vertical="center"/>
    </xf>
    <xf numFmtId="179" fontId="0" fillId="0" borderId="27" xfId="1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179" fontId="0" fillId="0" borderId="27" xfId="1" applyNumberFormat="1" applyFont="1" applyBorder="1" applyAlignment="1">
      <alignment vertical="center"/>
    </xf>
    <xf numFmtId="176" fontId="0" fillId="0" borderId="27" xfId="1" applyFont="1" applyBorder="1" applyAlignment="1">
      <alignment horizontal="center" vertical="center"/>
    </xf>
    <xf numFmtId="179" fontId="6" fillId="0" borderId="0" xfId="1" applyNumberFormat="1" applyFont="1" applyFill="1" applyBorder="1" applyAlignment="1">
      <alignment horizontal="right" vertical="center"/>
    </xf>
    <xf numFmtId="0" fontId="0" fillId="0" borderId="0" xfId="0" applyAlignment="1" quotePrefix="1">
      <alignment vertical="center"/>
    </xf>
    <xf numFmtId="0" fontId="0" fillId="0" borderId="0" xfId="0" applyAlignment="1" quotePrefix="1">
      <alignment vertical="center" wrapText="1"/>
    </xf>
    <xf numFmtId="0" fontId="0" fillId="0" borderId="0" xfId="0" applyAlignment="1" quotePrefix="1">
      <alignment horizontal="left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</cellStyles>
  <dxfs count="37">
    <dxf>
      <alignment vertical="center" wrapText="1"/>
    </dxf>
    <dxf>
      <alignment horizontal="center" vertical="center" wrapText="1"/>
    </dxf>
    <dxf>
      <alignment horizontal="center" vertical="center" shrinkToFit="1"/>
    </dxf>
    <dxf>
      <alignment horizontal="center" vertical="center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numFmt numFmtId="10" formatCode="0.00%"/>
      <alignment horizontal="center" vertical="center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rgb="FFFF0000"/>
      </font>
      <numFmt numFmtId="179" formatCode="_-* #,##0_-;\-* #,##0_-;_-* &quot;-&quot;??_-;_-@_-"/>
      <fill>
        <patternFill patternType="none"/>
      </fill>
      <alignment vertical="center" wrapText="1"/>
    </dxf>
    <dxf>
      <font>
        <name val="Calibri"/>
        <scheme val="none"/>
        <family val="2"/>
        <b val="1"/>
        <i val="0"/>
        <strike val="0"/>
        <u val="none"/>
        <sz val="11"/>
        <color auto="1"/>
      </font>
      <numFmt numFmtId="58" formatCode="m/d/yyyy"/>
      <fill>
        <patternFill patternType="none"/>
      </fill>
      <alignment vertical="center" wrapText="1"/>
    </dxf>
    <dxf>
      <font>
        <name val="Calibri"/>
        <scheme val="none"/>
        <family val="2"/>
        <b val="1"/>
        <i val="0"/>
        <strike val="0"/>
        <u val="none"/>
        <sz val="11"/>
        <color auto="1"/>
      </font>
      <numFmt numFmtId="179" formatCode="_-* #,##0_-;\-* #,##0_-;_-* &quot;-&quot;??_-;_-@_-"/>
      <fill>
        <patternFill patternType="none"/>
      </fill>
      <alignment vertical="center" wrapText="1"/>
    </dxf>
    <dxf>
      <font>
        <name val="Calibri"/>
        <scheme val="none"/>
        <family val="2"/>
        <b val="1"/>
        <i val="0"/>
        <strike val="0"/>
        <u val="none"/>
        <sz val="11"/>
        <color auto="1"/>
      </font>
      <numFmt numFmtId="179" formatCode="_-* #,##0_-;\-* #,##0_-;_-* &quot;-&quot;??_-;_-@_-"/>
      <fill>
        <patternFill patternType="none"/>
      </fill>
      <alignment vertical="center" wrapText="1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alignment vertical="center"/>
      <border>
        <left style="thick">
          <color auto="1"/>
        </left>
        <right/>
        <top/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alignment vertical="center"/>
      <border>
        <left style="thick">
          <color auto="1"/>
        </left>
        <right/>
        <top/>
        <bottom/>
      </border>
    </dxf>
    <dxf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Summary</a:t>
            </a:r>
            <a:r>
              <a:rPr lang="en-MY" baseline="0"/>
              <a:t> no. of Project on hand</a:t>
            </a:r>
            <a:endParaRPr lang="en-MY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2"/>
          <c:order val="0"/>
          <c:tx>
            <c:strRef>
              <c:f>Summary!$A$97</c:f>
              <c:strCache>
                <c:ptCount val="1"/>
                <c:pt idx="0">
                  <c:v>Construction Complete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Summary!$B$97:$J$97</c:f>
              <c:numCache>
                <c:formatCode>_(* #,##0_);_(* \(#,##0\);_(* "-"??_);_(@_)</c:formatCode>
                <c:ptCount val="9"/>
                <c:pt idx="0">
                  <c:v>4</c:v>
                </c:pt>
                <c:pt idx="1" c:formatCode="General">
                  <c:v>14</c:v>
                </c:pt>
                <c:pt idx="2" c:formatCode="General">
                  <c:v>17</c:v>
                </c:pt>
                <c:pt idx="3">
                  <c:v>19</c:v>
                </c:pt>
                <c:pt idx="4">
                  <c:v>24</c:v>
                </c:pt>
                <c:pt idx="5">
                  <c:v>33</c:v>
                </c:pt>
                <c:pt idx="6">
                  <c:v>43</c:v>
                </c:pt>
                <c:pt idx="7">
                  <c:v>55</c:v>
                </c:pt>
                <c:pt idx="8">
                  <c:v>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Summary!$A$98</c:f>
              <c:strCache>
                <c:ptCount val="1"/>
                <c:pt idx="0">
                  <c:v>Construction Ongoing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Summary!$B$98:$J$98</c:f>
              <c:numCache>
                <c:formatCode>_(* #,##0_);_(* \(#,##0\);_(* "-"??_);_(@_)</c:formatCode>
                <c:ptCount val="9"/>
                <c:pt idx="0">
                  <c:v>29</c:v>
                </c:pt>
                <c:pt idx="1">
                  <c:v>19</c:v>
                </c:pt>
                <c:pt idx="2">
                  <c:v>24</c:v>
                </c:pt>
                <c:pt idx="3">
                  <c:v>33</c:v>
                </c:pt>
                <c:pt idx="4">
                  <c:v>39</c:v>
                </c:pt>
                <c:pt idx="5">
                  <c:v>41</c:v>
                </c:pt>
                <c:pt idx="6">
                  <c:v>43</c:v>
                </c:pt>
                <c:pt idx="7">
                  <c:v>49</c:v>
                </c:pt>
                <c:pt idx="8">
                  <c:v>58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Summary!$A$99</c:f>
              <c:strCache>
                <c:ptCount val="1"/>
                <c:pt idx="0">
                  <c:v>Tendering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Summary!$B$99:$J$99</c:f>
              <c:numCache>
                <c:formatCode>_(* #,##0_);_(* \(#,##0\);_(* "-"??_);_(@_)</c:formatCode>
                <c:ptCount val="9"/>
                <c:pt idx="0">
                  <c:v>20</c:v>
                </c:pt>
                <c:pt idx="1">
                  <c:v>23</c:v>
                </c:pt>
                <c:pt idx="2">
                  <c:v>23</c:v>
                </c:pt>
                <c:pt idx="3">
                  <c:v>24</c:v>
                </c:pt>
                <c:pt idx="4">
                  <c:v>31</c:v>
                </c:pt>
                <c:pt idx="5">
                  <c:v>37</c:v>
                </c:pt>
                <c:pt idx="6">
                  <c:v>45</c:v>
                </c:pt>
                <c:pt idx="7">
                  <c:v>43</c:v>
                </c:pt>
                <c:pt idx="8">
                  <c:v>41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Summary!$A$100</c:f>
              <c:strCache>
                <c:ptCount val="1"/>
                <c:pt idx="0">
                  <c:v>Designing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Summary!$B$100:$J$100</c:f>
              <c:numCache>
                <c:formatCode>_(* #,##0_);_(* \(#,##0\);_(* "-"??_);_(@_)</c:formatCode>
                <c:ptCount val="9"/>
                <c:pt idx="0">
                  <c:v>14</c:v>
                </c:pt>
                <c:pt idx="1">
                  <c:v>50</c:v>
                </c:pt>
                <c:pt idx="2">
                  <c:v>50</c:v>
                </c:pt>
                <c:pt idx="3">
                  <c:v>46</c:v>
                </c:pt>
                <c:pt idx="4">
                  <c:v>42</c:v>
                </c:pt>
                <c:pt idx="5">
                  <c:v>55</c:v>
                </c:pt>
                <c:pt idx="6">
                  <c:v>83</c:v>
                </c:pt>
                <c:pt idx="7">
                  <c:v>62</c:v>
                </c:pt>
                <c:pt idx="8">
                  <c:v>35</c:v>
                </c:pt>
              </c:numCache>
            </c:numRef>
          </c:val>
          <c:smooth val="0"/>
        </c:ser>
        <c:ser>
          <c:idx val="3"/>
          <c:order val="4"/>
          <c:tx>
            <c:strRef>
              <c:f>Summary!$A$101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0.07421808038149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082464533757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6.22781199067475e-17"/>
                  <c:y val="-0.05736533616302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04979155503861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0.05790225079827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Summary!$B$101:$J$101</c:f>
              <c:numCache>
                <c:formatCode>_(* #,##0_);_(* \(#,##0\);_(* "-"??_);_(@_)</c:formatCode>
                <c:ptCount val="9"/>
                <c:pt idx="0">
                  <c:v>67</c:v>
                </c:pt>
                <c:pt idx="1">
                  <c:v>106</c:v>
                </c:pt>
                <c:pt idx="2">
                  <c:v>114</c:v>
                </c:pt>
                <c:pt idx="3">
                  <c:v>122</c:v>
                </c:pt>
                <c:pt idx="4">
                  <c:v>136</c:v>
                </c:pt>
                <c:pt idx="5">
                  <c:v>166</c:v>
                </c:pt>
                <c:pt idx="6">
                  <c:v>214</c:v>
                </c:pt>
                <c:pt idx="7">
                  <c:v>209</c:v>
                </c:pt>
                <c:pt idx="8">
                  <c:v>205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026985391"/>
        <c:axId val="286918448"/>
      </c:lineChart>
      <c:catAx>
        <c:axId val="202698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6918448"/>
        <c:crosses val="autoZero"/>
        <c:auto val="1"/>
        <c:lblAlgn val="ctr"/>
        <c:lblOffset val="100"/>
        <c:noMultiLvlLbl val="1"/>
      </c:catAx>
      <c:valAx>
        <c:axId val="2869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698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3098d1-47ec-4002-b17f-4ebe43b8ac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Summary Project</a:t>
            </a:r>
            <a:r>
              <a:rPr lang="en-MY" baseline="0"/>
              <a:t> value</a:t>
            </a:r>
            <a:r>
              <a:rPr lang="en-MY"/>
              <a:t> (RM)</a:t>
            </a:r>
            <a:endParaRPr lang="en-MY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2"/>
          <c:order val="0"/>
          <c:tx>
            <c:strRef>
              <c:f>Summary!$I$104</c:f>
              <c:strCache>
                <c:ptCount val="1"/>
                <c:pt idx="0">
                  <c:v>Construction done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Summary!$J$104:$R$104</c:f>
              <c:numCache>
                <c:formatCode>_-* #,##0_-;\-* #,##0_-;_-* "-"??_-;_-@_-</c:formatCode>
                <c:ptCount val="9"/>
                <c:pt idx="0">
                  <c:v>4844919</c:v>
                </c:pt>
                <c:pt idx="1">
                  <c:v>4844919</c:v>
                </c:pt>
                <c:pt idx="2">
                  <c:v>6582420</c:v>
                </c:pt>
                <c:pt idx="3">
                  <c:v>7278791</c:v>
                </c:pt>
                <c:pt idx="4">
                  <c:v>10449856</c:v>
                </c:pt>
                <c:pt idx="5">
                  <c:v>11045609</c:v>
                </c:pt>
                <c:pt idx="6">
                  <c:v>11641362</c:v>
                </c:pt>
                <c:pt idx="7">
                  <c:v>13107978.138254</c:v>
                </c:pt>
                <c:pt idx="8">
                  <c:v>15885392.0903333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Summary!$I$105</c:f>
              <c:strCache>
                <c:ptCount val="1"/>
                <c:pt idx="0">
                  <c:v>Construction Ongoing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Summary!$J$105:$R$105</c:f>
              <c:numCache>
                <c:formatCode>_-* #,##0_-;\-* #,##0_-;_-* "-"??_-;_-@_-</c:formatCode>
                <c:ptCount val="9"/>
                <c:pt idx="0">
                  <c:v>3995004</c:v>
                </c:pt>
                <c:pt idx="1">
                  <c:v>3995438</c:v>
                </c:pt>
                <c:pt idx="2">
                  <c:v>3997201</c:v>
                </c:pt>
                <c:pt idx="3">
                  <c:v>4343111</c:v>
                </c:pt>
                <c:pt idx="4">
                  <c:v>4578601</c:v>
                </c:pt>
                <c:pt idx="5">
                  <c:v>7008615.5</c:v>
                </c:pt>
                <c:pt idx="6">
                  <c:v>9438630</c:v>
                </c:pt>
                <c:pt idx="7">
                  <c:v>9968493.39190476</c:v>
                </c:pt>
                <c:pt idx="8">
                  <c:v>11495206.123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Summary!$I$106</c:f>
              <c:strCache>
                <c:ptCount val="1"/>
                <c:pt idx="0">
                  <c:v>Tendering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Summary!$J$106:$R$106</c:f>
              <c:numCache>
                <c:formatCode>_-* #,##0_-;\-* #,##0_-;_-* "-"??_-;_-@_-</c:formatCode>
                <c:ptCount val="9"/>
                <c:pt idx="0">
                  <c:v>55645500</c:v>
                </c:pt>
                <c:pt idx="1">
                  <c:v>65164066</c:v>
                </c:pt>
                <c:pt idx="2">
                  <c:v>67014627</c:v>
                </c:pt>
                <c:pt idx="3">
                  <c:v>66807881</c:v>
                </c:pt>
                <c:pt idx="4">
                  <c:v>65127361</c:v>
                </c:pt>
                <c:pt idx="5">
                  <c:v>61386848</c:v>
                </c:pt>
                <c:pt idx="6">
                  <c:v>17646335</c:v>
                </c:pt>
                <c:pt idx="7">
                  <c:v>25909685.4761905</c:v>
                </c:pt>
                <c:pt idx="8">
                  <c:v>36764004.5</c:v>
                </c:pt>
              </c:numCache>
            </c:numRef>
          </c:val>
          <c:smooth val="0"/>
        </c:ser>
        <c:ser>
          <c:idx val="0"/>
          <c:order val="3"/>
          <c:tx>
            <c:strRef>
              <c:f>Summary!$I$107</c:f>
              <c:strCache>
                <c:ptCount val="1"/>
                <c:pt idx="0">
                  <c:v>Designing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Summary!$J$107:$R$107</c:f>
              <c:numCache>
                <c:formatCode>_-* #,##0_-;\-* #,##0_-;_-* "-"??_-;_-@_-</c:formatCode>
                <c:ptCount val="9"/>
                <c:pt idx="0">
                  <c:v>54531000</c:v>
                </c:pt>
                <c:pt idx="1">
                  <c:v>75837600</c:v>
                </c:pt>
                <c:pt idx="2">
                  <c:v>78443675</c:v>
                </c:pt>
                <c:pt idx="3">
                  <c:v>78362575</c:v>
                </c:pt>
                <c:pt idx="4">
                  <c:v>77325120</c:v>
                </c:pt>
                <c:pt idx="5">
                  <c:v>81828395</c:v>
                </c:pt>
                <c:pt idx="6">
                  <c:v>46331670</c:v>
                </c:pt>
                <c:pt idx="7">
                  <c:v>27679321.4285714</c:v>
                </c:pt>
                <c:pt idx="8">
                  <c:v>11794905</c:v>
                </c:pt>
              </c:numCache>
            </c:numRef>
          </c:val>
          <c:smooth val="0"/>
        </c:ser>
        <c:ser>
          <c:idx val="3"/>
          <c:order val="4"/>
          <c:tx>
            <c:strRef>
              <c:f>Summary!$I$108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0.07447707444242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94025809560107e-17"/>
                  <c:y val="-0.05755046661459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-0.04062385878677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04062385878677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18805161912021e-16"/>
                  <c:y val="-0.04062385878677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Summary!$J$108:$R$108</c:f>
              <c:numCache>
                <c:formatCode>_-* #,##0_-;\-* #,##0_-;_-* "-"??_-;_-@_-</c:formatCode>
                <c:ptCount val="9"/>
                <c:pt idx="0">
                  <c:v>119016423</c:v>
                </c:pt>
                <c:pt idx="1">
                  <c:v>149842023</c:v>
                </c:pt>
                <c:pt idx="2">
                  <c:v>156037923</c:v>
                </c:pt>
                <c:pt idx="3">
                  <c:v>156792358</c:v>
                </c:pt>
                <c:pt idx="4">
                  <c:v>157480938</c:v>
                </c:pt>
                <c:pt idx="5">
                  <c:v>161269467.5</c:v>
                </c:pt>
                <c:pt idx="6">
                  <c:v>85057997</c:v>
                </c:pt>
                <c:pt idx="7">
                  <c:v>76665478.4349206</c:v>
                </c:pt>
                <c:pt idx="8">
                  <c:v>75939507.7133333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42989136"/>
        <c:axId val="1042990096"/>
      </c:lineChart>
      <c:dateAx>
        <c:axId val="10429891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2990096"/>
        <c:crosses val="autoZero"/>
        <c:auto val="1"/>
        <c:lblOffset val="100"/>
        <c:baseTimeUnit val="months"/>
      </c:dateAx>
      <c:valAx>
        <c:axId val="10429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2989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090573-e06a-465d-ad97-5955f12b7d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102</xdr:row>
      <xdr:rowOff>110762</xdr:rowOff>
    </xdr:from>
    <xdr:to>
      <xdr:col>6</xdr:col>
      <xdr:colOff>866775</xdr:colOff>
      <xdr:row>118</xdr:row>
      <xdr:rowOff>55789</xdr:rowOff>
    </xdr:to>
    <xdr:graphicFrame>
      <xdr:nvGraphicFramePr>
        <xdr:cNvPr id="14" name="Chart 1"/>
        <xdr:cNvGraphicFramePr/>
      </xdr:nvGraphicFramePr>
      <xdr:xfrm>
        <a:off x="0" y="19411950"/>
        <a:ext cx="7549515" cy="2992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59872</xdr:colOff>
      <xdr:row>109</xdr:row>
      <xdr:rowOff>130628</xdr:rowOff>
    </xdr:from>
    <xdr:to>
      <xdr:col>15</xdr:col>
      <xdr:colOff>816428</xdr:colOff>
      <xdr:row>129</xdr:row>
      <xdr:rowOff>119743</xdr:rowOff>
    </xdr:to>
    <xdr:graphicFrame>
      <xdr:nvGraphicFramePr>
        <xdr:cNvPr id="13" name="Chart 2"/>
        <xdr:cNvGraphicFramePr/>
      </xdr:nvGraphicFramePr>
      <xdr:xfrm>
        <a:off x="9074150" y="20765135"/>
        <a:ext cx="9740265" cy="3761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Table6" displayName="Table6" ref="A1:V208" totalsRowShown="0">
  <autoFilter xmlns:etc="http://www.wps.cn/officeDocument/2017/etCustomData" ref="A1:V208" etc:filterBottomFollowUsedRange="0">
    <filterColumn colId="2">
      <customFilters>
        <customFilter operator="equal" val="PKF"/>
      </customFilters>
    </filterColumn>
  </autoFilter>
  <sortState ref="A1:V208">
    <sortCondition ref="E1:E209" descending="1"/>
  </sortState>
  <tableColumns count="22">
    <tableColumn id="1" name="Project" dataDxfId="0"/>
    <tableColumn id="21" name="BU" dataDxfId="1"/>
    <tableColumn id="2" name="Location" dataDxfId="2"/>
    <tableColumn id="3" name="Status" dataDxfId="3"/>
    <tableColumn id="4" name="%" dataDxfId="4"/>
    <tableColumn id="5" name="Value (RM)" dataDxfId="5"/>
    <tableColumn id="6" name="Value Completed " dataDxfId="6">
      <calculatedColumnFormula>F2*E2</calculatedColumnFormula>
    </tableColumn>
    <tableColumn id="7" name="VO(RM)" dataDxfId="7"/>
    <tableColumn id="8" name="CDS" dataDxfId="8">
      <calculatedColumnFormula>TEXT(RANDBETWEEN(DATE(2025,1,1),DATE(2025,12,31)),"m/d/yyyy")</calculatedColumnFormula>
    </tableColumn>
    <tableColumn id="9" name="day" dataDxfId="9"/>
    <tableColumn id="10" name="est.&#10;Finish date" dataDxfId="10"/>
    <tableColumn id="11" name="Unit" dataDxfId="11"/>
    <tableColumn id="12" name="Quantity" dataDxfId="12"/>
    <tableColumn id="13" name="Average (RM/unit)" dataDxfId="13">
      <calculatedColumnFormula>F2/M2</calculatedColumnFormula>
    </tableColumn>
    <tableColumn id="14" name="Award" dataDxfId="14"/>
    <tableColumn id="16" name="Safuan" dataDxfId="15"/>
    <tableColumn id="23" name="Hamdee" dataDxfId="16"/>
    <tableColumn id="17" name="Woradate" dataDxfId="17"/>
    <tableColumn id="19" name="Nantawat" dataDxfId="18"/>
    <tableColumn id="20" name="Alya" dataDxfId="19"/>
    <tableColumn id="15" name="Vignes" dataDxfId="20"/>
    <tableColumn id="22" name="Azim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42" displayName="Table42" ref="A123:B127" totalsRowShown="0">
  <autoFilter xmlns:etc="http://www.wps.cn/officeDocument/2017/etCustomData" ref="A123:B127" etc:filterBottomFollowUsedRange="0"/>
  <tableColumns count="2">
    <tableColumn id="1" name="Average (RM/project)" dataDxfId="25"/>
    <tableColumn id="5" name="Dec-24" dataDxfId="26">
      <calculatedColumnFormula>E111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96:J101" totalsRowShown="0">
  <autoFilter xmlns:etc="http://www.wps.cn/officeDocument/2017/etCustomData" ref="A96:J101" etc:filterBottomFollowUsedRange="0"/>
  <tableColumns count="10">
    <tableColumn id="1" name="Column1" dataDxfId="27"/>
    <tableColumn id="4" name="Jan-25" dataDxfId="28"/>
    <tableColumn id="5" name="Feb-25" dataDxfId="29"/>
    <tableColumn id="7" name="Mac-25" dataDxfId="30"/>
    <tableColumn id="6" name="Apr-25" dataDxfId="31">
      <calculatedColumnFormula>H49</calculatedColumnFormula>
    </tableColumn>
    <tableColumn id="2" name="May-25" dataDxfId="32">
      <calculatedColumnFormula>G58</calculatedColumnFormula>
    </tableColumn>
    <tableColumn id="3" name="Jun-25" dataDxfId="33">
      <calculatedColumnFormula>G66</calculatedColumnFormula>
    </tableColumn>
    <tableColumn id="8" name="Jul-25" dataDxfId="34"/>
    <tableColumn id="9" name="Aug-25" dataDxfId="35"/>
    <tableColumn id="10" name="Sep-25" dataDxfId="36">
      <calculatedColumnFormula>'OCM Table'!#REF!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4"/>
  <sheetViews>
    <sheetView tabSelected="1" zoomScale="85" zoomScaleNormal="85" workbookViewId="0">
      <pane xSplit="7" ySplit="1" topLeftCell="H273" activePane="bottomRight" state="frozen"/>
      <selection/>
      <selection pane="topRight"/>
      <selection pane="bottomLeft"/>
      <selection pane="bottomRight" activeCell="A209" sqref="A209"/>
    </sheetView>
  </sheetViews>
  <sheetFormatPr defaultColWidth="9.11111111111111" defaultRowHeight="15" customHeight="1"/>
  <cols>
    <col min="1" max="1" width="53" style="73" customWidth="1"/>
    <col min="2" max="2" width="11" style="74" customWidth="1"/>
    <col min="3" max="3" width="15.5555555555556" style="1" customWidth="1"/>
    <col min="4" max="4" width="17" style="1" customWidth="1"/>
    <col min="5" max="5" width="13.3333333333333" style="75" customWidth="1"/>
    <col min="6" max="6" width="13.6666666666667" style="51" customWidth="1"/>
    <col min="7" max="7" width="20.1111111111111" style="5" customWidth="1"/>
    <col min="8" max="8" width="19.8611111111111" style="3" customWidth="1"/>
    <col min="9" max="9" width="19.3055555555556" style="76" customWidth="1"/>
    <col min="10" max="10" width="12.1111111111111" style="77" customWidth="1"/>
    <col min="11" max="11" width="15.5555555555556" style="77" customWidth="1"/>
    <col min="12" max="12" width="9.66666666666667" style="1" customWidth="1"/>
    <col min="13" max="13" width="14.6666666666667" style="78" customWidth="1"/>
    <col min="14" max="14" width="16" style="51" customWidth="1"/>
    <col min="15" max="15" width="18.6666666666667" style="79" customWidth="1"/>
    <col min="16" max="17" width="13.6666666666667" customWidth="1"/>
    <col min="18" max="20" width="16.3333333333333" style="5" customWidth="1"/>
    <col min="21" max="21" width="17.5555555555556" style="3" customWidth="1"/>
    <col min="22" max="22" width="13.8888888888889" style="3" customWidth="1"/>
    <col min="23" max="23" width="42.8703703703704" style="3" customWidth="1"/>
    <col min="24" max="24" width="47.1111111111111" style="3" customWidth="1"/>
    <col min="25" max="25" width="20.8888888888889" style="3" customWidth="1"/>
    <col min="26" max="16384" width="9.11111111111111" style="3"/>
  </cols>
  <sheetData>
    <row r="1" ht="31.2" spans="1:24">
      <c r="A1" s="80" t="s">
        <v>0</v>
      </c>
      <c r="B1" s="80" t="s">
        <v>1</v>
      </c>
      <c r="C1" s="81" t="s">
        <v>2</v>
      </c>
      <c r="D1" s="81" t="s">
        <v>3</v>
      </c>
      <c r="E1" s="82" t="s">
        <v>4</v>
      </c>
      <c r="F1" s="83" t="s">
        <v>5</v>
      </c>
      <c r="G1" s="84" t="s">
        <v>6</v>
      </c>
      <c r="H1" s="85" t="s">
        <v>7</v>
      </c>
      <c r="I1" s="115" t="s">
        <v>8</v>
      </c>
      <c r="J1" s="116" t="s">
        <v>9</v>
      </c>
      <c r="K1" s="115" t="s">
        <v>10</v>
      </c>
      <c r="L1" s="84" t="s">
        <v>11</v>
      </c>
      <c r="M1" s="117" t="s">
        <v>12</v>
      </c>
      <c r="N1" s="118" t="s">
        <v>13</v>
      </c>
      <c r="O1" s="119" t="s">
        <v>14</v>
      </c>
      <c r="P1" s="84" t="s">
        <v>15</v>
      </c>
      <c r="Q1" s="84" t="s">
        <v>16</v>
      </c>
      <c r="R1" s="143" t="s">
        <v>17</v>
      </c>
      <c r="S1" s="143" t="s">
        <v>18</v>
      </c>
      <c r="T1" s="143" t="s">
        <v>19</v>
      </c>
      <c r="U1" s="84" t="s">
        <v>20</v>
      </c>
      <c r="V1" s="84" t="s">
        <v>21</v>
      </c>
      <c r="W1" s="144" t="s">
        <v>22</v>
      </c>
      <c r="X1" s="144" t="s">
        <v>23</v>
      </c>
    </row>
    <row r="2" ht="28.8" spans="1:24">
      <c r="A2" s="73" t="s">
        <v>24</v>
      </c>
      <c r="B2" s="74" t="s">
        <v>25</v>
      </c>
      <c r="C2" s="86" t="s">
        <v>26</v>
      </c>
      <c r="D2" s="1" t="s">
        <v>27</v>
      </c>
      <c r="E2" s="75">
        <v>1</v>
      </c>
      <c r="F2" s="87">
        <v>6000</v>
      </c>
      <c r="G2" s="88">
        <f>F2*E2</f>
        <v>6000</v>
      </c>
      <c r="H2" s="89">
        <v>0</v>
      </c>
      <c r="I2" s="120" t="str">
        <f ca="1" t="shared" ref="I2:I65" si="0">TEXT(RANDBETWEEN(DATE(2025,1,1),DATE(2025,12,31)),"m/d/yyyy")</f>
        <v>3/28/2025</v>
      </c>
      <c r="J2" s="89"/>
      <c r="K2" s="121" t="s">
        <v>28</v>
      </c>
      <c r="L2" s="88" t="s">
        <v>29</v>
      </c>
      <c r="M2" s="122">
        <v>1</v>
      </c>
      <c r="N2" s="2">
        <v>6000</v>
      </c>
      <c r="O2" s="79" t="s">
        <v>30</v>
      </c>
      <c r="P2" s="92"/>
      <c r="Q2" s="92"/>
      <c r="R2" s="92"/>
      <c r="S2" s="92"/>
      <c r="T2" s="92"/>
      <c r="U2" s="145">
        <v>6000</v>
      </c>
      <c r="V2" s="92"/>
      <c r="W2" s="3" t="s">
        <v>31</v>
      </c>
      <c r="X2" s="146" t="s">
        <v>28</v>
      </c>
    </row>
    <row r="3" spans="1:24">
      <c r="A3" s="73" t="s">
        <v>32</v>
      </c>
      <c r="B3" s="74" t="s">
        <v>33</v>
      </c>
      <c r="C3" s="86" t="s">
        <v>34</v>
      </c>
      <c r="D3" s="86" t="s">
        <v>27</v>
      </c>
      <c r="E3" s="90">
        <v>1</v>
      </c>
      <c r="F3" s="91">
        <v>10500</v>
      </c>
      <c r="G3" s="92">
        <f t="shared" ref="G3:G13" si="1">E3*F3</f>
        <v>10500</v>
      </c>
      <c r="H3" s="89">
        <v>0</v>
      </c>
      <c r="I3" s="120" t="str">
        <f ca="1" t="shared" si="0"/>
        <v>7/31/2025</v>
      </c>
      <c r="J3" s="98"/>
      <c r="K3" s="121" t="s">
        <v>28</v>
      </c>
      <c r="L3" s="123" t="s">
        <v>35</v>
      </c>
      <c r="M3" s="124">
        <v>50</v>
      </c>
      <c r="N3" s="91">
        <f t="shared" ref="N3:N66" si="2">F3/M3</f>
        <v>210</v>
      </c>
      <c r="O3" s="79" t="s">
        <v>36</v>
      </c>
      <c r="P3" s="125"/>
      <c r="Q3" s="125"/>
      <c r="R3" s="147"/>
      <c r="S3" s="147"/>
      <c r="T3" s="147"/>
      <c r="U3" s="148">
        <f>F3</f>
        <v>10500</v>
      </c>
      <c r="V3" s="127"/>
      <c r="W3" s="3" t="s">
        <v>31</v>
      </c>
      <c r="X3" s="146" t="s">
        <v>28</v>
      </c>
    </row>
    <row r="4" spans="1:24">
      <c r="A4" s="73" t="s">
        <v>37</v>
      </c>
      <c r="B4" s="74" t="s">
        <v>33</v>
      </c>
      <c r="C4" s="86" t="s">
        <v>34</v>
      </c>
      <c r="D4" s="86" t="s">
        <v>27</v>
      </c>
      <c r="E4" s="93">
        <v>1</v>
      </c>
      <c r="F4" s="94">
        <v>1250000</v>
      </c>
      <c r="G4" s="88">
        <f t="shared" si="1"/>
        <v>1250000</v>
      </c>
      <c r="H4" s="95">
        <f>18*95*2</f>
        <v>3420</v>
      </c>
      <c r="I4" s="120" t="str">
        <f ca="1" t="shared" si="0"/>
        <v>5/27/2025</v>
      </c>
      <c r="J4" s="95"/>
      <c r="K4" s="121" t="s">
        <v>28</v>
      </c>
      <c r="L4" s="88" t="s">
        <v>38</v>
      </c>
      <c r="M4" s="126">
        <f>18*95*2</f>
        <v>3420</v>
      </c>
      <c r="N4" s="91">
        <f t="shared" si="2"/>
        <v>365.497076023392</v>
      </c>
      <c r="O4" s="79" t="s">
        <v>39</v>
      </c>
      <c r="P4" s="127"/>
      <c r="Q4" s="127"/>
      <c r="R4" s="92">
        <f>G4</f>
        <v>1250000</v>
      </c>
      <c r="S4" s="92"/>
      <c r="T4" s="92"/>
      <c r="U4" s="127"/>
      <c r="V4" s="127"/>
      <c r="W4" s="3" t="s">
        <v>31</v>
      </c>
      <c r="X4" s="146" t="s">
        <v>28</v>
      </c>
    </row>
    <row r="5" spans="1:24">
      <c r="A5" s="73" t="s">
        <v>40</v>
      </c>
      <c r="B5" s="74" t="s">
        <v>33</v>
      </c>
      <c r="C5" s="86" t="s">
        <v>41</v>
      </c>
      <c r="D5" s="86" t="s">
        <v>27</v>
      </c>
      <c r="E5" s="93">
        <v>1</v>
      </c>
      <c r="F5" s="94">
        <v>645000</v>
      </c>
      <c r="G5" s="88">
        <f t="shared" si="1"/>
        <v>645000</v>
      </c>
      <c r="H5" s="96">
        <v>14915</v>
      </c>
      <c r="I5" s="120" t="str">
        <f ca="1" t="shared" si="0"/>
        <v>3/23/2025</v>
      </c>
      <c r="J5" s="96"/>
      <c r="K5" s="121" t="s">
        <v>28</v>
      </c>
      <c r="L5" s="88" t="s">
        <v>38</v>
      </c>
      <c r="M5" s="126">
        <f>16*120</f>
        <v>1920</v>
      </c>
      <c r="N5" s="91">
        <f t="shared" si="2"/>
        <v>335.9375</v>
      </c>
      <c r="O5" s="79" t="s">
        <v>42</v>
      </c>
      <c r="P5" s="127"/>
      <c r="Q5" s="127"/>
      <c r="R5" s="92">
        <f>G5</f>
        <v>645000</v>
      </c>
      <c r="S5" s="92"/>
      <c r="T5" s="92"/>
      <c r="U5" s="127"/>
      <c r="V5" s="127"/>
      <c r="W5" s="149" t="s">
        <v>43</v>
      </c>
      <c r="X5" s="146" t="s">
        <v>28</v>
      </c>
    </row>
    <row r="6" spans="1:24">
      <c r="A6" s="73" t="s">
        <v>44</v>
      </c>
      <c r="B6" s="74" t="s">
        <v>45</v>
      </c>
      <c r="C6" s="86" t="s">
        <v>46</v>
      </c>
      <c r="D6" s="86" t="s">
        <v>27</v>
      </c>
      <c r="E6" s="75">
        <v>1</v>
      </c>
      <c r="F6" s="87">
        <v>63404</v>
      </c>
      <c r="G6" s="92">
        <f t="shared" si="1"/>
        <v>63404</v>
      </c>
      <c r="H6" s="89"/>
      <c r="I6" s="120" t="str">
        <f ca="1" t="shared" si="0"/>
        <v>10/31/2025</v>
      </c>
      <c r="J6" s="89"/>
      <c r="K6" s="121" t="s">
        <v>28</v>
      </c>
      <c r="L6" s="88" t="s">
        <v>47</v>
      </c>
      <c r="M6" s="122">
        <v>32</v>
      </c>
      <c r="N6" s="109">
        <f t="shared" si="2"/>
        <v>1981.375</v>
      </c>
      <c r="O6" s="79" t="s">
        <v>48</v>
      </c>
      <c r="P6" s="49"/>
      <c r="Q6" s="92">
        <f>F6</f>
        <v>63404</v>
      </c>
      <c r="R6" s="92"/>
      <c r="S6" s="92"/>
      <c r="T6" s="92"/>
      <c r="U6" s="88"/>
      <c r="V6" s="92"/>
      <c r="W6" s="149" t="s">
        <v>43</v>
      </c>
      <c r="X6" s="146" t="s">
        <v>28</v>
      </c>
    </row>
    <row r="7" ht="15.6" spans="1:24">
      <c r="A7" s="73" t="s">
        <v>49</v>
      </c>
      <c r="B7" s="74" t="s">
        <v>50</v>
      </c>
      <c r="C7" s="86" t="s">
        <v>51</v>
      </c>
      <c r="D7" s="86" t="s">
        <v>27</v>
      </c>
      <c r="E7" s="97">
        <v>1</v>
      </c>
      <c r="F7" s="87">
        <v>430000</v>
      </c>
      <c r="G7" s="88">
        <f t="shared" si="1"/>
        <v>430000</v>
      </c>
      <c r="H7" s="89">
        <f>15000*10.5</f>
        <v>157500</v>
      </c>
      <c r="I7" s="120" t="str">
        <f ca="1" t="shared" si="0"/>
        <v>1/11/2025</v>
      </c>
      <c r="J7" s="89"/>
      <c r="K7" s="121" t="s">
        <v>28</v>
      </c>
      <c r="L7" s="88" t="s">
        <v>52</v>
      </c>
      <c r="M7" s="122">
        <v>16500</v>
      </c>
      <c r="N7" s="91">
        <f t="shared" si="2"/>
        <v>26.0606060606061</v>
      </c>
      <c r="O7" s="128" t="s">
        <v>53</v>
      </c>
      <c r="P7" s="92"/>
      <c r="Q7" s="92"/>
      <c r="R7" s="92">
        <f>F7</f>
        <v>430000</v>
      </c>
      <c r="S7" s="92"/>
      <c r="T7" s="92"/>
      <c r="U7" s="88"/>
      <c r="V7" s="92"/>
      <c r="W7" s="149" t="s">
        <v>43</v>
      </c>
      <c r="X7" s="146" t="s">
        <v>28</v>
      </c>
    </row>
    <row r="8" spans="1:24">
      <c r="A8" s="73" t="s">
        <v>54</v>
      </c>
      <c r="B8" s="74" t="s">
        <v>33</v>
      </c>
      <c r="C8" s="86" t="s">
        <v>55</v>
      </c>
      <c r="D8" s="86" t="s">
        <v>27</v>
      </c>
      <c r="E8" s="75">
        <v>1</v>
      </c>
      <c r="F8" s="94">
        <v>18000</v>
      </c>
      <c r="G8" s="88">
        <f t="shared" si="1"/>
        <v>18000</v>
      </c>
      <c r="H8" s="98">
        <v>0</v>
      </c>
      <c r="I8" s="120" t="str">
        <f ca="1" t="shared" si="0"/>
        <v>12/1/2025</v>
      </c>
      <c r="J8" s="129"/>
      <c r="K8" s="121" t="s">
        <v>28</v>
      </c>
      <c r="L8" s="123" t="s">
        <v>47</v>
      </c>
      <c r="M8" s="124">
        <v>8</v>
      </c>
      <c r="N8" s="91">
        <f t="shared" si="2"/>
        <v>2250</v>
      </c>
      <c r="O8" s="79" t="s">
        <v>56</v>
      </c>
      <c r="P8" s="127"/>
      <c r="Q8" s="127"/>
      <c r="R8" s="147"/>
      <c r="S8" s="147"/>
      <c r="T8" s="147"/>
      <c r="U8" s="148">
        <f>G8</f>
        <v>18000</v>
      </c>
      <c r="V8" s="127"/>
      <c r="W8" s="149" t="s">
        <v>43</v>
      </c>
      <c r="X8" s="146" t="s">
        <v>28</v>
      </c>
    </row>
    <row r="9" spans="1:24">
      <c r="A9" s="73" t="s">
        <v>57</v>
      </c>
      <c r="B9" s="74" t="s">
        <v>33</v>
      </c>
      <c r="C9" s="86" t="s">
        <v>55</v>
      </c>
      <c r="D9" s="86" t="s">
        <v>27</v>
      </c>
      <c r="E9" s="75">
        <v>1</v>
      </c>
      <c r="F9" s="87">
        <v>19900</v>
      </c>
      <c r="G9" s="88">
        <f t="shared" si="1"/>
        <v>19900</v>
      </c>
      <c r="H9" s="98">
        <v>0</v>
      </c>
      <c r="I9" s="120" t="str">
        <f ca="1" t="shared" si="0"/>
        <v>10/9/2025</v>
      </c>
      <c r="J9" s="130"/>
      <c r="K9" s="121" t="s">
        <v>28</v>
      </c>
      <c r="L9" s="88" t="s">
        <v>47</v>
      </c>
      <c r="M9" s="122">
        <v>8</v>
      </c>
      <c r="N9" s="91">
        <f t="shared" si="2"/>
        <v>2487.5</v>
      </c>
      <c r="O9" s="79" t="s">
        <v>56</v>
      </c>
      <c r="P9" s="92"/>
      <c r="Q9" s="92"/>
      <c r="R9" s="92"/>
      <c r="S9" s="92"/>
      <c r="T9" s="92"/>
      <c r="U9" s="145">
        <f>F9</f>
        <v>19900</v>
      </c>
      <c r="V9" s="92"/>
      <c r="W9" s="149" t="s">
        <v>43</v>
      </c>
      <c r="X9" s="146" t="s">
        <v>28</v>
      </c>
    </row>
    <row r="10" spans="1:24">
      <c r="A10" s="73" t="s">
        <v>58</v>
      </c>
      <c r="B10" s="74" t="s">
        <v>33</v>
      </c>
      <c r="C10" s="86" t="s">
        <v>55</v>
      </c>
      <c r="D10" s="86" t="s">
        <v>27</v>
      </c>
      <c r="E10" s="75">
        <v>1</v>
      </c>
      <c r="F10" s="94">
        <v>19810</v>
      </c>
      <c r="G10" s="88">
        <f t="shared" si="1"/>
        <v>19810</v>
      </c>
      <c r="H10" s="98">
        <v>0</v>
      </c>
      <c r="I10" s="120" t="str">
        <f ca="1" t="shared" si="0"/>
        <v>2/23/2025</v>
      </c>
      <c r="J10" s="129"/>
      <c r="K10" s="121" t="s">
        <v>28</v>
      </c>
      <c r="L10" s="123" t="s">
        <v>59</v>
      </c>
      <c r="M10" s="124">
        <v>1</v>
      </c>
      <c r="N10" s="91">
        <f t="shared" si="2"/>
        <v>19810</v>
      </c>
      <c r="O10" s="79" t="s">
        <v>56</v>
      </c>
      <c r="P10" s="127"/>
      <c r="Q10" s="127"/>
      <c r="R10" s="147"/>
      <c r="S10" s="147"/>
      <c r="T10" s="147"/>
      <c r="U10" s="148">
        <f>F10</f>
        <v>19810</v>
      </c>
      <c r="V10" s="127"/>
      <c r="W10" s="149" t="s">
        <v>43</v>
      </c>
      <c r="X10" s="146" t="s">
        <v>28</v>
      </c>
    </row>
    <row r="11" spans="1:24">
      <c r="A11" s="73" t="s">
        <v>60</v>
      </c>
      <c r="B11" s="74" t="s">
        <v>33</v>
      </c>
      <c r="C11" s="86" t="s">
        <v>55</v>
      </c>
      <c r="D11" s="86" t="s">
        <v>27</v>
      </c>
      <c r="E11" s="75">
        <v>1</v>
      </c>
      <c r="F11" s="91">
        <f>10690+24220+4080+6608+131433.5</f>
        <v>177031.5</v>
      </c>
      <c r="G11" s="92">
        <f t="shared" si="1"/>
        <v>177031.5</v>
      </c>
      <c r="H11" s="98">
        <v>0</v>
      </c>
      <c r="I11" s="120" t="str">
        <f ca="1" t="shared" si="0"/>
        <v>4/21/2025</v>
      </c>
      <c r="J11" s="129"/>
      <c r="K11" s="121" t="s">
        <v>28</v>
      </c>
      <c r="L11" s="123" t="s">
        <v>38</v>
      </c>
      <c r="M11" s="124">
        <v>5901</v>
      </c>
      <c r="N11" s="91">
        <f t="shared" si="2"/>
        <v>30.0002541942044</v>
      </c>
      <c r="O11" s="131" t="s">
        <v>56</v>
      </c>
      <c r="P11" s="127"/>
      <c r="Q11" s="127"/>
      <c r="R11" s="92">
        <f>F11</f>
        <v>177031.5</v>
      </c>
      <c r="S11" s="92"/>
      <c r="T11" s="92"/>
      <c r="U11" s="127"/>
      <c r="V11" s="127"/>
      <c r="W11" s="200" t="s">
        <v>61</v>
      </c>
      <c r="X11" s="146" t="s">
        <v>28</v>
      </c>
    </row>
    <row r="12" ht="100.8" spans="1:24">
      <c r="A12" s="73" t="s">
        <v>62</v>
      </c>
      <c r="B12" s="74" t="s">
        <v>33</v>
      </c>
      <c r="C12" s="86" t="s">
        <v>55</v>
      </c>
      <c r="D12" s="86" t="s">
        <v>27</v>
      </c>
      <c r="E12" s="75">
        <v>1</v>
      </c>
      <c r="F12" s="87">
        <v>28800</v>
      </c>
      <c r="G12" s="88">
        <f t="shared" si="1"/>
        <v>28800</v>
      </c>
      <c r="H12" s="89"/>
      <c r="I12" s="120" t="str">
        <f ca="1" t="shared" si="0"/>
        <v>11/8/2025</v>
      </c>
      <c r="J12" s="130"/>
      <c r="K12" s="121" t="s">
        <v>28</v>
      </c>
      <c r="L12" s="88" t="s">
        <v>35</v>
      </c>
      <c r="M12" s="122">
        <v>91</v>
      </c>
      <c r="N12" s="91">
        <f t="shared" si="2"/>
        <v>316.483516483516</v>
      </c>
      <c r="O12" s="79" t="s">
        <v>63</v>
      </c>
      <c r="P12" s="92"/>
      <c r="Q12" s="92"/>
      <c r="R12" s="92"/>
      <c r="S12" s="92"/>
      <c r="T12" s="92"/>
      <c r="U12" s="145">
        <f>F12</f>
        <v>28800</v>
      </c>
      <c r="V12" s="92"/>
      <c r="W12" s="201" t="s">
        <v>64</v>
      </c>
      <c r="X12" s="146" t="s">
        <v>28</v>
      </c>
    </row>
    <row r="13" spans="1:24">
      <c r="A13" s="73" t="s">
        <v>65</v>
      </c>
      <c r="B13" s="74" t="s">
        <v>33</v>
      </c>
      <c r="C13" s="86" t="s">
        <v>55</v>
      </c>
      <c r="D13" s="86" t="s">
        <v>27</v>
      </c>
      <c r="E13" s="75">
        <v>1</v>
      </c>
      <c r="F13" s="87">
        <v>15589.26</v>
      </c>
      <c r="G13" s="88">
        <f t="shared" si="1"/>
        <v>15589.26</v>
      </c>
      <c r="H13" s="89"/>
      <c r="I13" s="120" t="str">
        <f ca="1" t="shared" si="0"/>
        <v>11/7/2025</v>
      </c>
      <c r="J13" s="130"/>
      <c r="K13" s="121" t="s">
        <v>28</v>
      </c>
      <c r="L13" s="88" t="s">
        <v>38</v>
      </c>
      <c r="M13" s="122">
        <v>65</v>
      </c>
      <c r="N13" s="91">
        <f t="shared" si="2"/>
        <v>239.834769230769</v>
      </c>
      <c r="O13" s="79" t="s">
        <v>56</v>
      </c>
      <c r="P13" s="3"/>
      <c r="Q13" s="3"/>
      <c r="R13" s="92"/>
      <c r="S13" s="92"/>
      <c r="T13" s="92"/>
      <c r="U13" s="145">
        <f>F13</f>
        <v>15589.26</v>
      </c>
      <c r="V13" s="92"/>
      <c r="W13" s="149" t="s">
        <v>43</v>
      </c>
      <c r="X13" s="146" t="s">
        <v>28</v>
      </c>
    </row>
    <row r="14" ht="28.8" spans="1:24">
      <c r="A14" s="73" t="s">
        <v>66</v>
      </c>
      <c r="B14" s="99" t="s">
        <v>33</v>
      </c>
      <c r="C14" s="86" t="s">
        <v>55</v>
      </c>
      <c r="D14" s="1" t="s">
        <v>67</v>
      </c>
      <c r="E14" s="75">
        <v>1</v>
      </c>
      <c r="F14" s="100">
        <v>50000</v>
      </c>
      <c r="G14" s="88">
        <f>F14*E14</f>
        <v>50000</v>
      </c>
      <c r="H14" s="101"/>
      <c r="I14" s="120" t="str">
        <f ca="1" t="shared" si="0"/>
        <v>1/25/2025</v>
      </c>
      <c r="J14" s="132">
        <v>30</v>
      </c>
      <c r="K14" s="76">
        <f ca="1">I14+30+J14</f>
        <v>45742</v>
      </c>
      <c r="L14" s="103" t="s">
        <v>68</v>
      </c>
      <c r="M14" s="133">
        <v>12</v>
      </c>
      <c r="N14" s="134">
        <f t="shared" si="2"/>
        <v>4166.66666666667</v>
      </c>
      <c r="O14" s="79" t="s">
        <v>69</v>
      </c>
      <c r="P14" s="135"/>
      <c r="Q14" s="135"/>
      <c r="R14" s="135"/>
      <c r="S14" s="135"/>
      <c r="T14" s="135"/>
      <c r="U14" s="150">
        <f>F14</f>
        <v>50000</v>
      </c>
      <c r="V14" s="135"/>
      <c r="W14" s="149" t="s">
        <v>43</v>
      </c>
      <c r="X14" s="146" t="s">
        <v>28</v>
      </c>
    </row>
    <row r="15" spans="1:24">
      <c r="A15" s="73" t="s">
        <v>70</v>
      </c>
      <c r="B15" s="74" t="s">
        <v>33</v>
      </c>
      <c r="C15" s="86" t="s">
        <v>71</v>
      </c>
      <c r="D15" s="86" t="s">
        <v>27</v>
      </c>
      <c r="E15" s="75">
        <v>1</v>
      </c>
      <c r="F15" s="102">
        <v>35640</v>
      </c>
      <c r="G15" s="88">
        <f>E15*F15</f>
        <v>35640</v>
      </c>
      <c r="H15" s="89"/>
      <c r="I15" s="120" t="str">
        <f ca="1" t="shared" si="0"/>
        <v>3/26/2025</v>
      </c>
      <c r="J15" s="89"/>
      <c r="K15" s="76" t="s">
        <v>28</v>
      </c>
      <c r="L15" s="88" t="s">
        <v>72</v>
      </c>
      <c r="M15" s="122">
        <v>400</v>
      </c>
      <c r="N15" s="91">
        <f t="shared" si="2"/>
        <v>89.1</v>
      </c>
      <c r="O15" s="79" t="s">
        <v>73</v>
      </c>
      <c r="P15" s="92"/>
      <c r="Q15" s="92"/>
      <c r="R15" s="92"/>
      <c r="S15" s="92"/>
      <c r="T15" s="92"/>
      <c r="U15" s="145">
        <f>F15</f>
        <v>35640</v>
      </c>
      <c r="V15" s="92"/>
      <c r="W15" s="149" t="s">
        <v>43</v>
      </c>
      <c r="X15" s="146" t="s">
        <v>28</v>
      </c>
    </row>
    <row r="16" spans="1:24">
      <c r="A16" s="73" t="s">
        <v>74</v>
      </c>
      <c r="B16" s="99" t="s">
        <v>33</v>
      </c>
      <c r="C16" s="86" t="s">
        <v>75</v>
      </c>
      <c r="D16" s="1" t="s">
        <v>27</v>
      </c>
      <c r="E16" s="75">
        <v>1</v>
      </c>
      <c r="F16" s="100">
        <v>22400</v>
      </c>
      <c r="G16" s="103">
        <f>F16*E16</f>
        <v>22400</v>
      </c>
      <c r="H16" s="101"/>
      <c r="I16" s="120" t="str">
        <f ca="1" t="shared" si="0"/>
        <v>8/22/2025</v>
      </c>
      <c r="J16" s="132"/>
      <c r="K16" s="76" t="s">
        <v>28</v>
      </c>
      <c r="L16" s="103" t="s">
        <v>38</v>
      </c>
      <c r="M16" s="133">
        <v>16</v>
      </c>
      <c r="N16" s="134">
        <f t="shared" si="2"/>
        <v>1400</v>
      </c>
      <c r="O16" s="79" t="s">
        <v>76</v>
      </c>
      <c r="P16" s="135"/>
      <c r="Q16" s="135"/>
      <c r="R16" s="135"/>
      <c r="S16" s="135"/>
      <c r="T16" s="135"/>
      <c r="U16" s="103">
        <f>Table6[[#This Row],[Value (RM)]]</f>
        <v>22400</v>
      </c>
      <c r="V16" s="135"/>
      <c r="W16" s="149" t="s">
        <v>43</v>
      </c>
      <c r="X16" s="146" t="s">
        <v>28</v>
      </c>
    </row>
    <row r="17" spans="1:24">
      <c r="A17" s="73" t="s">
        <v>77</v>
      </c>
      <c r="B17" s="99" t="s">
        <v>33</v>
      </c>
      <c r="C17" s="86" t="s">
        <v>75</v>
      </c>
      <c r="D17" s="1" t="s">
        <v>27</v>
      </c>
      <c r="E17" s="75">
        <v>1</v>
      </c>
      <c r="F17" s="100">
        <v>23820</v>
      </c>
      <c r="G17" s="103">
        <f>F17*E17</f>
        <v>23820</v>
      </c>
      <c r="H17" s="101"/>
      <c r="I17" s="120" t="str">
        <f ca="1" t="shared" si="0"/>
        <v>1/30/2025</v>
      </c>
      <c r="J17" s="132"/>
      <c r="K17" s="76" t="s">
        <v>28</v>
      </c>
      <c r="L17" s="103" t="s">
        <v>38</v>
      </c>
      <c r="M17" s="133">
        <v>96</v>
      </c>
      <c r="N17" s="134">
        <f t="shared" si="2"/>
        <v>248.125</v>
      </c>
      <c r="O17" s="79" t="s">
        <v>76</v>
      </c>
      <c r="P17" s="135"/>
      <c r="Q17" s="135"/>
      <c r="R17" s="135"/>
      <c r="S17" s="135"/>
      <c r="T17" s="135"/>
      <c r="U17" s="103">
        <f>Table6[[#This Row],[Value (RM)]]</f>
        <v>23820</v>
      </c>
      <c r="V17" s="135"/>
      <c r="W17" s="149" t="s">
        <v>43</v>
      </c>
      <c r="X17" s="146" t="s">
        <v>28</v>
      </c>
    </row>
    <row r="18" spans="1:24">
      <c r="A18" s="73" t="s">
        <v>78</v>
      </c>
      <c r="B18" s="74" t="s">
        <v>33</v>
      </c>
      <c r="C18" s="86" t="s">
        <v>79</v>
      </c>
      <c r="D18" s="86" t="s">
        <v>27</v>
      </c>
      <c r="E18" s="97">
        <v>1</v>
      </c>
      <c r="F18" s="87">
        <v>76000</v>
      </c>
      <c r="G18" s="88">
        <f>E18*F18</f>
        <v>76000</v>
      </c>
      <c r="H18" s="89">
        <v>4000</v>
      </c>
      <c r="I18" s="120" t="str">
        <f ca="1" t="shared" si="0"/>
        <v>7/10/2025</v>
      </c>
      <c r="J18" s="89"/>
      <c r="K18" s="76" t="s">
        <v>28</v>
      </c>
      <c r="L18" s="123" t="s">
        <v>80</v>
      </c>
      <c r="M18" s="124">
        <v>12</v>
      </c>
      <c r="N18" s="91">
        <f t="shared" si="2"/>
        <v>6333.33333333333</v>
      </c>
      <c r="O18" s="29" t="s">
        <v>81</v>
      </c>
      <c r="P18" s="92"/>
      <c r="Q18" s="92"/>
      <c r="R18" s="92"/>
      <c r="S18" s="92"/>
      <c r="T18" s="92"/>
      <c r="U18" s="145">
        <f>F18</f>
        <v>76000</v>
      </c>
      <c r="V18" s="92"/>
      <c r="W18" s="3" t="s">
        <v>31</v>
      </c>
      <c r="X18" s="146" t="s">
        <v>28</v>
      </c>
    </row>
    <row r="19" spans="1:24">
      <c r="A19" s="73" t="s">
        <v>82</v>
      </c>
      <c r="B19" s="74" t="s">
        <v>33</v>
      </c>
      <c r="C19" s="86" t="s">
        <v>75</v>
      </c>
      <c r="D19" s="86" t="s">
        <v>27</v>
      </c>
      <c r="E19" s="75">
        <v>1</v>
      </c>
      <c r="F19" s="104" t="s">
        <v>83</v>
      </c>
      <c r="G19" s="105" t="str">
        <f>F19</f>
        <v>FOC</v>
      </c>
      <c r="H19" s="106">
        <v>0</v>
      </c>
      <c r="I19" s="120" t="str">
        <f ca="1" t="shared" si="0"/>
        <v>9/16/2025</v>
      </c>
      <c r="J19" s="106"/>
      <c r="K19" s="76" t="s">
        <v>28</v>
      </c>
      <c r="L19" s="136" t="s">
        <v>59</v>
      </c>
      <c r="M19" s="137">
        <v>1</v>
      </c>
      <c r="N19" s="91" t="e">
        <f t="shared" si="2"/>
        <v>#VALUE!</v>
      </c>
      <c r="O19" s="79" t="s">
        <v>84</v>
      </c>
      <c r="P19" s="127"/>
      <c r="Q19" s="127"/>
      <c r="R19" s="147"/>
      <c r="S19" s="147"/>
      <c r="T19" s="147"/>
      <c r="U19" s="148" t="str">
        <f>F19</f>
        <v>FOC</v>
      </c>
      <c r="V19" s="127"/>
      <c r="W19" s="3" t="s">
        <v>31</v>
      </c>
      <c r="X19" s="146" t="s">
        <v>28</v>
      </c>
    </row>
    <row r="20" spans="1:24">
      <c r="A20" s="73" t="s">
        <v>85</v>
      </c>
      <c r="B20" s="74" t="s">
        <v>33</v>
      </c>
      <c r="C20" s="86" t="s">
        <v>75</v>
      </c>
      <c r="D20" s="107" t="s">
        <v>27</v>
      </c>
      <c r="E20" s="75">
        <v>1</v>
      </c>
      <c r="F20" s="87">
        <v>140000</v>
      </c>
      <c r="G20" s="88">
        <f>F20*E20</f>
        <v>140000</v>
      </c>
      <c r="H20" s="89"/>
      <c r="I20" s="120" t="str">
        <f ca="1" t="shared" si="0"/>
        <v>1/13/2025</v>
      </c>
      <c r="J20" s="89"/>
      <c r="K20" s="76" t="s">
        <v>28</v>
      </c>
      <c r="L20" s="88" t="s">
        <v>35</v>
      </c>
      <c r="M20" s="122">
        <v>52</v>
      </c>
      <c r="N20" s="109">
        <f t="shared" si="2"/>
        <v>2692.30769230769</v>
      </c>
      <c r="O20" s="79" t="s">
        <v>86</v>
      </c>
      <c r="P20" s="92"/>
      <c r="Q20" s="92"/>
      <c r="R20" s="92"/>
      <c r="S20" s="92"/>
      <c r="T20" s="92"/>
      <c r="U20" s="88">
        <v>140000</v>
      </c>
      <c r="V20" s="92"/>
      <c r="W20" s="3" t="s">
        <v>31</v>
      </c>
      <c r="X20" s="146" t="s">
        <v>28</v>
      </c>
    </row>
    <row r="21" spans="1:24">
      <c r="A21" s="73" t="s">
        <v>87</v>
      </c>
      <c r="B21" s="74" t="s">
        <v>33</v>
      </c>
      <c r="C21" s="86" t="s">
        <v>88</v>
      </c>
      <c r="D21" s="86" t="s">
        <v>27</v>
      </c>
      <c r="E21" s="75">
        <v>1</v>
      </c>
      <c r="F21" s="87">
        <v>245000</v>
      </c>
      <c r="G21" s="88">
        <f>E21*F21</f>
        <v>245000</v>
      </c>
      <c r="H21" s="89"/>
      <c r="I21" s="120" t="str">
        <f ca="1" t="shared" si="0"/>
        <v>4/25/2025</v>
      </c>
      <c r="J21" s="89"/>
      <c r="K21" s="76" t="s">
        <v>28</v>
      </c>
      <c r="L21" s="88" t="s">
        <v>68</v>
      </c>
      <c r="M21" s="78">
        <v>12</v>
      </c>
      <c r="N21" s="91">
        <f t="shared" si="2"/>
        <v>20416.6666666667</v>
      </c>
      <c r="O21" s="79" t="s">
        <v>56</v>
      </c>
      <c r="P21" s="92"/>
      <c r="Q21" s="92"/>
      <c r="R21" s="92"/>
      <c r="S21" s="92"/>
      <c r="T21" s="92"/>
      <c r="U21" s="145">
        <f t="shared" ref="U21:U26" si="3">F21</f>
        <v>245000</v>
      </c>
      <c r="V21" s="92"/>
      <c r="W21" s="149" t="s">
        <v>43</v>
      </c>
      <c r="X21" s="146" t="s">
        <v>28</v>
      </c>
    </row>
    <row r="22" ht="28.8" spans="1:24">
      <c r="A22" s="108" t="s">
        <v>89</v>
      </c>
      <c r="B22" s="74" t="s">
        <v>33</v>
      </c>
      <c r="C22" s="1" t="s">
        <v>88</v>
      </c>
      <c r="D22" s="1" t="s">
        <v>27</v>
      </c>
      <c r="E22" s="75">
        <v>1</v>
      </c>
      <c r="F22" s="87">
        <v>45200</v>
      </c>
      <c r="G22" s="88">
        <f>F22*E22</f>
        <v>45200</v>
      </c>
      <c r="H22" s="89"/>
      <c r="I22" s="120" t="str">
        <f ca="1" t="shared" si="0"/>
        <v>3/5/2025</v>
      </c>
      <c r="J22" s="89"/>
      <c r="K22" s="76" t="s">
        <v>28</v>
      </c>
      <c r="L22" s="88" t="s">
        <v>38</v>
      </c>
      <c r="M22" s="78">
        <f>14*120</f>
        <v>1680</v>
      </c>
      <c r="N22" s="109">
        <f t="shared" si="2"/>
        <v>26.9047619047619</v>
      </c>
      <c r="O22" s="79" t="s">
        <v>56</v>
      </c>
      <c r="P22" s="92"/>
      <c r="Q22" s="92"/>
      <c r="R22" s="92"/>
      <c r="S22" s="92"/>
      <c r="T22" s="92"/>
      <c r="U22" s="145">
        <f t="shared" si="3"/>
        <v>45200</v>
      </c>
      <c r="V22" s="92"/>
      <c r="W22" s="149" t="s">
        <v>43</v>
      </c>
      <c r="X22" s="146" t="s">
        <v>28</v>
      </c>
    </row>
    <row r="23" spans="1:24">
      <c r="A23" s="73" t="s">
        <v>90</v>
      </c>
      <c r="B23" s="74" t="s">
        <v>33</v>
      </c>
      <c r="C23" s="86" t="s">
        <v>91</v>
      </c>
      <c r="D23" s="86" t="s">
        <v>27</v>
      </c>
      <c r="E23" s="75">
        <v>1</v>
      </c>
      <c r="F23" s="87">
        <v>21600</v>
      </c>
      <c r="G23" s="88">
        <f t="shared" ref="G23:G35" si="4">E23*F23</f>
        <v>21600</v>
      </c>
      <c r="H23" s="89"/>
      <c r="I23" s="120" t="str">
        <f ca="1" t="shared" si="0"/>
        <v>12/25/2025</v>
      </c>
      <c r="J23" s="89"/>
      <c r="K23" s="76" t="s">
        <v>28</v>
      </c>
      <c r="L23" s="88" t="s">
        <v>92</v>
      </c>
      <c r="M23" s="78">
        <v>1000</v>
      </c>
      <c r="N23" s="91">
        <f t="shared" si="2"/>
        <v>21.6</v>
      </c>
      <c r="O23" s="79" t="s">
        <v>93</v>
      </c>
      <c r="P23" s="92"/>
      <c r="Q23" s="92"/>
      <c r="R23" s="92"/>
      <c r="S23" s="92"/>
      <c r="T23" s="92"/>
      <c r="U23" s="145">
        <f t="shared" si="3"/>
        <v>21600</v>
      </c>
      <c r="V23" s="92"/>
      <c r="W23" s="149" t="s">
        <v>43</v>
      </c>
      <c r="X23" s="146" t="s">
        <v>28</v>
      </c>
    </row>
    <row r="24" spans="1:24">
      <c r="A24" s="73" t="s">
        <v>94</v>
      </c>
      <c r="B24" s="74" t="s">
        <v>33</v>
      </c>
      <c r="C24" s="86" t="s">
        <v>91</v>
      </c>
      <c r="D24" s="86" t="s">
        <v>27</v>
      </c>
      <c r="E24" s="75">
        <v>1</v>
      </c>
      <c r="F24" s="87">
        <v>119500</v>
      </c>
      <c r="G24" s="88">
        <f t="shared" si="4"/>
        <v>119500</v>
      </c>
      <c r="H24" s="89"/>
      <c r="I24" s="120" t="str">
        <f ca="1" t="shared" si="0"/>
        <v>11/17/2025</v>
      </c>
      <c r="J24" s="89"/>
      <c r="K24" s="76" t="s">
        <v>28</v>
      </c>
      <c r="L24" s="88" t="s">
        <v>38</v>
      </c>
      <c r="M24" s="78">
        <v>2400</v>
      </c>
      <c r="N24" s="91">
        <f t="shared" si="2"/>
        <v>49.7916666666667</v>
      </c>
      <c r="O24" s="79" t="s">
        <v>95</v>
      </c>
      <c r="P24" s="3"/>
      <c r="Q24" s="3"/>
      <c r="R24" s="92"/>
      <c r="S24" s="92"/>
      <c r="T24" s="92"/>
      <c r="U24" s="145">
        <f t="shared" si="3"/>
        <v>119500</v>
      </c>
      <c r="V24" s="92"/>
      <c r="W24" s="149" t="s">
        <v>43</v>
      </c>
      <c r="X24" s="146" t="s">
        <v>28</v>
      </c>
    </row>
    <row r="25" spans="1:24">
      <c r="A25" s="73" t="s">
        <v>96</v>
      </c>
      <c r="B25" s="74" t="s">
        <v>33</v>
      </c>
      <c r="C25" s="86" t="s">
        <v>97</v>
      </c>
      <c r="D25" s="86" t="s">
        <v>27</v>
      </c>
      <c r="E25" s="75">
        <v>1</v>
      </c>
      <c r="F25" s="109">
        <v>50500</v>
      </c>
      <c r="G25" s="92">
        <f t="shared" si="4"/>
        <v>50500</v>
      </c>
      <c r="H25" s="89">
        <v>7500</v>
      </c>
      <c r="I25" s="120" t="str">
        <f ca="1" t="shared" si="0"/>
        <v>8/29/2025</v>
      </c>
      <c r="J25" s="89"/>
      <c r="K25" s="76" t="s">
        <v>28</v>
      </c>
      <c r="L25" s="123" t="s">
        <v>59</v>
      </c>
      <c r="M25" s="124">
        <v>1</v>
      </c>
      <c r="N25" s="91">
        <f t="shared" si="2"/>
        <v>50500</v>
      </c>
      <c r="O25" s="79" t="s">
        <v>98</v>
      </c>
      <c r="P25" s="92"/>
      <c r="Q25" s="92"/>
      <c r="R25" s="92"/>
      <c r="S25" s="92"/>
      <c r="T25" s="92"/>
      <c r="U25" s="145">
        <f t="shared" si="3"/>
        <v>50500</v>
      </c>
      <c r="V25" s="92"/>
      <c r="W25" s="149" t="s">
        <v>43</v>
      </c>
      <c r="X25" s="146" t="s">
        <v>28</v>
      </c>
    </row>
    <row r="26" spans="1:24">
      <c r="A26" s="73" t="s">
        <v>99</v>
      </c>
      <c r="B26" s="74" t="s">
        <v>33</v>
      </c>
      <c r="C26" s="86" t="s">
        <v>97</v>
      </c>
      <c r="D26" s="86" t="s">
        <v>27</v>
      </c>
      <c r="E26" s="75">
        <v>1</v>
      </c>
      <c r="F26" s="87">
        <v>32800</v>
      </c>
      <c r="G26" s="88">
        <f t="shared" si="4"/>
        <v>32800</v>
      </c>
      <c r="H26" s="89"/>
      <c r="I26" s="120" t="str">
        <f ca="1" t="shared" si="0"/>
        <v>7/29/2025</v>
      </c>
      <c r="J26" s="89"/>
      <c r="K26" s="76" t="s">
        <v>28</v>
      </c>
      <c r="L26" s="88" t="s">
        <v>38</v>
      </c>
      <c r="M26" s="122">
        <f>3.6*20</f>
        <v>72</v>
      </c>
      <c r="N26" s="91">
        <f t="shared" si="2"/>
        <v>455.555555555556</v>
      </c>
      <c r="O26" s="79" t="s">
        <v>100</v>
      </c>
      <c r="P26" s="92"/>
      <c r="Q26" s="92"/>
      <c r="R26" s="92"/>
      <c r="S26" s="92"/>
      <c r="T26" s="92"/>
      <c r="U26" s="145">
        <f t="shared" si="3"/>
        <v>32800</v>
      </c>
      <c r="V26" s="92"/>
      <c r="W26" s="149" t="s">
        <v>43</v>
      </c>
      <c r="X26" s="146" t="s">
        <v>28</v>
      </c>
    </row>
    <row r="27" spans="1:24">
      <c r="A27" s="73" t="s">
        <v>101</v>
      </c>
      <c r="B27" s="74" t="s">
        <v>45</v>
      </c>
      <c r="C27" s="86" t="s">
        <v>102</v>
      </c>
      <c r="D27" s="86" t="s">
        <v>27</v>
      </c>
      <c r="E27" s="75">
        <v>1</v>
      </c>
      <c r="F27" s="87">
        <v>150000</v>
      </c>
      <c r="G27" s="92">
        <f t="shared" si="4"/>
        <v>150000</v>
      </c>
      <c r="H27" s="89">
        <f>1+12000</f>
        <v>12001</v>
      </c>
      <c r="I27" s="120" t="str">
        <f ca="1" t="shared" si="0"/>
        <v>3/1/2025</v>
      </c>
      <c r="J27" s="89"/>
      <c r="K27" s="76" t="s">
        <v>28</v>
      </c>
      <c r="L27" s="88" t="s">
        <v>38</v>
      </c>
      <c r="M27" s="126">
        <v>28</v>
      </c>
      <c r="N27" s="91">
        <f t="shared" si="2"/>
        <v>5357.14285714286</v>
      </c>
      <c r="O27" s="79" t="s">
        <v>103</v>
      </c>
      <c r="P27" s="92"/>
      <c r="Q27" s="92"/>
      <c r="R27" s="92">
        <f>F27</f>
        <v>150000</v>
      </c>
      <c r="S27" s="92"/>
      <c r="T27" s="92"/>
      <c r="U27" s="88"/>
      <c r="V27" s="92"/>
      <c r="W27" s="200" t="s">
        <v>61</v>
      </c>
      <c r="X27" s="146" t="s">
        <v>28</v>
      </c>
    </row>
    <row r="28" ht="100.8" spans="1:24">
      <c r="A28" s="73" t="s">
        <v>104</v>
      </c>
      <c r="B28" s="74" t="s">
        <v>45</v>
      </c>
      <c r="C28" s="86" t="s">
        <v>102</v>
      </c>
      <c r="D28" s="86" t="s">
        <v>27</v>
      </c>
      <c r="E28" s="75">
        <v>1</v>
      </c>
      <c r="F28" s="109">
        <v>124000</v>
      </c>
      <c r="G28" s="92">
        <f t="shared" si="4"/>
        <v>124000</v>
      </c>
      <c r="H28" s="89"/>
      <c r="I28" s="120" t="str">
        <f ca="1" t="shared" si="0"/>
        <v>7/14/2025</v>
      </c>
      <c r="J28" s="89"/>
      <c r="K28" s="76" t="s">
        <v>28</v>
      </c>
      <c r="L28" s="88" t="s">
        <v>38</v>
      </c>
      <c r="M28" s="126">
        <v>150</v>
      </c>
      <c r="N28" s="91">
        <f t="shared" si="2"/>
        <v>826.666666666667</v>
      </c>
      <c r="O28" s="79" t="s">
        <v>39</v>
      </c>
      <c r="P28" s="92"/>
      <c r="Q28" s="92"/>
      <c r="R28" s="92"/>
      <c r="S28" s="92"/>
      <c r="T28" s="92"/>
      <c r="U28" s="145">
        <f>F28</f>
        <v>124000</v>
      </c>
      <c r="V28" s="92"/>
      <c r="W28" s="201" t="s">
        <v>64</v>
      </c>
      <c r="X28" s="146" t="s">
        <v>28</v>
      </c>
    </row>
    <row r="29" spans="1:24">
      <c r="A29" s="73" t="s">
        <v>105</v>
      </c>
      <c r="B29" s="74" t="s">
        <v>45</v>
      </c>
      <c r="C29" s="86" t="s">
        <v>102</v>
      </c>
      <c r="D29" s="86" t="s">
        <v>27</v>
      </c>
      <c r="E29" s="75">
        <v>1</v>
      </c>
      <c r="F29" s="87">
        <v>96800</v>
      </c>
      <c r="G29" s="92">
        <f t="shared" si="4"/>
        <v>96800</v>
      </c>
      <c r="H29" s="89"/>
      <c r="I29" s="120" t="str">
        <f ca="1" t="shared" si="0"/>
        <v>10/24/2025</v>
      </c>
      <c r="J29" s="89"/>
      <c r="K29" s="76" t="s">
        <v>28</v>
      </c>
      <c r="L29" s="88" t="s">
        <v>47</v>
      </c>
      <c r="M29" s="126">
        <v>48</v>
      </c>
      <c r="N29" s="109">
        <f t="shared" si="2"/>
        <v>2016.66666666667</v>
      </c>
      <c r="O29" s="79" t="s">
        <v>48</v>
      </c>
      <c r="P29" s="49"/>
      <c r="Q29" s="92">
        <f>F29</f>
        <v>96800</v>
      </c>
      <c r="U29" s="88"/>
      <c r="V29" s="92"/>
      <c r="W29" s="149" t="s">
        <v>43</v>
      </c>
      <c r="X29" s="146" t="s">
        <v>28</v>
      </c>
    </row>
    <row r="30" spans="1:24">
      <c r="A30" s="73" t="s">
        <v>106</v>
      </c>
      <c r="B30" s="74" t="s">
        <v>45</v>
      </c>
      <c r="C30" s="86" t="s">
        <v>102</v>
      </c>
      <c r="D30" s="86" t="s">
        <v>27</v>
      </c>
      <c r="E30" s="75">
        <v>1</v>
      </c>
      <c r="F30" s="94">
        <v>206000</v>
      </c>
      <c r="G30" s="92">
        <f t="shared" si="4"/>
        <v>206000</v>
      </c>
      <c r="H30" s="95"/>
      <c r="I30" s="120" t="str">
        <f ca="1" t="shared" si="0"/>
        <v>10/20/2025</v>
      </c>
      <c r="J30" s="95"/>
      <c r="K30" s="76" t="s">
        <v>28</v>
      </c>
      <c r="L30" s="88" t="s">
        <v>35</v>
      </c>
      <c r="M30" s="126">
        <v>24</v>
      </c>
      <c r="N30" s="91">
        <f t="shared" si="2"/>
        <v>8583.33333333333</v>
      </c>
      <c r="O30" s="79" t="s">
        <v>107</v>
      </c>
      <c r="P30" s="135"/>
      <c r="Q30" s="135"/>
      <c r="R30" s="127">
        <f>F30</f>
        <v>206000</v>
      </c>
      <c r="S30" s="92"/>
      <c r="T30" s="92"/>
      <c r="U30" s="125"/>
      <c r="V30" s="127"/>
      <c r="W30" s="149" t="s">
        <v>43</v>
      </c>
      <c r="X30" s="146" t="s">
        <v>28</v>
      </c>
    </row>
    <row r="31" spans="1:24">
      <c r="A31" s="73" t="s">
        <v>108</v>
      </c>
      <c r="B31" s="74" t="s">
        <v>45</v>
      </c>
      <c r="C31" s="86" t="s">
        <v>102</v>
      </c>
      <c r="D31" s="86" t="s">
        <v>27</v>
      </c>
      <c r="E31" s="75">
        <v>1</v>
      </c>
      <c r="F31" s="91">
        <v>110000</v>
      </c>
      <c r="G31" s="92">
        <f t="shared" si="4"/>
        <v>110000</v>
      </c>
      <c r="H31" s="96">
        <v>16000</v>
      </c>
      <c r="I31" s="120" t="str">
        <f ca="1" t="shared" si="0"/>
        <v>10/16/2025</v>
      </c>
      <c r="J31" s="96"/>
      <c r="K31" s="76" t="s">
        <v>28</v>
      </c>
      <c r="L31" s="88" t="s">
        <v>38</v>
      </c>
      <c r="M31" s="122">
        <v>1785</v>
      </c>
      <c r="N31" s="91">
        <f t="shared" si="2"/>
        <v>61.624649859944</v>
      </c>
      <c r="O31" s="79" t="s">
        <v>109</v>
      </c>
      <c r="P31" s="127"/>
      <c r="Q31" s="127"/>
      <c r="R31" s="92"/>
      <c r="S31" s="92"/>
      <c r="T31" s="92"/>
      <c r="U31" s="148">
        <f>G31</f>
        <v>110000</v>
      </c>
      <c r="V31" s="127"/>
      <c r="W31" s="149" t="s">
        <v>43</v>
      </c>
      <c r="X31" s="146" t="s">
        <v>28</v>
      </c>
    </row>
    <row r="32" s="71" customFormat="1" ht="14.4" spans="1:24">
      <c r="A32" s="73" t="s">
        <v>110</v>
      </c>
      <c r="B32" s="74" t="s">
        <v>45</v>
      </c>
      <c r="C32" s="86" t="s">
        <v>102</v>
      </c>
      <c r="D32" s="86" t="s">
        <v>27</v>
      </c>
      <c r="E32" s="75">
        <v>1</v>
      </c>
      <c r="F32" s="109">
        <v>60000</v>
      </c>
      <c r="G32" s="92">
        <f t="shared" si="4"/>
        <v>60000</v>
      </c>
      <c r="H32" s="89"/>
      <c r="I32" s="120" t="str">
        <f ca="1" t="shared" si="0"/>
        <v>12/6/2025</v>
      </c>
      <c r="J32" s="89"/>
      <c r="K32" s="76" t="s">
        <v>28</v>
      </c>
      <c r="L32" s="88" t="s">
        <v>38</v>
      </c>
      <c r="M32" s="122">
        <v>252</v>
      </c>
      <c r="N32" s="91">
        <f t="shared" si="2"/>
        <v>238.095238095238</v>
      </c>
      <c r="O32" s="79" t="s">
        <v>111</v>
      </c>
      <c r="P32" s="49"/>
      <c r="Q32" s="92">
        <f>F32</f>
        <v>60000</v>
      </c>
      <c r="R32" s="92"/>
      <c r="S32" s="92"/>
      <c r="T32" s="92"/>
      <c r="U32" s="88"/>
      <c r="V32" s="92"/>
      <c r="W32" s="149" t="s">
        <v>43</v>
      </c>
      <c r="X32" s="146" t="s">
        <v>28</v>
      </c>
    </row>
    <row r="33" spans="1:24">
      <c r="A33" s="73" t="s">
        <v>112</v>
      </c>
      <c r="B33" s="74" t="s">
        <v>45</v>
      </c>
      <c r="C33" s="86" t="s">
        <v>102</v>
      </c>
      <c r="D33" s="86" t="s">
        <v>27</v>
      </c>
      <c r="E33" s="75">
        <v>1</v>
      </c>
      <c r="F33" s="87">
        <v>33692</v>
      </c>
      <c r="G33" s="92">
        <f t="shared" si="4"/>
        <v>33692</v>
      </c>
      <c r="H33" s="89"/>
      <c r="I33" s="120" t="str">
        <f ca="1" t="shared" si="0"/>
        <v>4/6/2025</v>
      </c>
      <c r="J33" s="89"/>
      <c r="K33" s="76" t="s">
        <v>28</v>
      </c>
      <c r="L33" s="88" t="s">
        <v>38</v>
      </c>
      <c r="M33" s="122">
        <v>40</v>
      </c>
      <c r="N33" s="91">
        <f t="shared" si="2"/>
        <v>842.3</v>
      </c>
      <c r="O33" s="79" t="s">
        <v>100</v>
      </c>
      <c r="P33" s="3"/>
      <c r="Q33" s="3"/>
      <c r="R33" s="92"/>
      <c r="S33" s="92"/>
      <c r="T33" s="92"/>
      <c r="U33" s="145">
        <f>F33</f>
        <v>33692</v>
      </c>
      <c r="V33" s="92"/>
      <c r="W33" s="149" t="s">
        <v>43</v>
      </c>
      <c r="X33" s="146" t="s">
        <v>28</v>
      </c>
    </row>
    <row r="34" ht="28.8" spans="1:24">
      <c r="A34" s="73" t="s">
        <v>113</v>
      </c>
      <c r="B34" s="74" t="s">
        <v>45</v>
      </c>
      <c r="C34" s="86" t="s">
        <v>102</v>
      </c>
      <c r="D34" s="86" t="s">
        <v>27</v>
      </c>
      <c r="E34" s="75">
        <v>1</v>
      </c>
      <c r="F34" s="87">
        <v>30800</v>
      </c>
      <c r="G34" s="88">
        <f t="shared" si="4"/>
        <v>30800</v>
      </c>
      <c r="H34" s="89"/>
      <c r="I34" s="120" t="str">
        <f ca="1" t="shared" si="0"/>
        <v>1/1/2025</v>
      </c>
      <c r="J34" s="89"/>
      <c r="K34" s="76" t="s">
        <v>28</v>
      </c>
      <c r="L34" s="88" t="s">
        <v>38</v>
      </c>
      <c r="M34" s="122">
        <v>40</v>
      </c>
      <c r="N34" s="91">
        <f t="shared" si="2"/>
        <v>770</v>
      </c>
      <c r="O34" s="79" t="s">
        <v>100</v>
      </c>
      <c r="P34" s="92"/>
      <c r="Q34" s="92"/>
      <c r="R34" s="92"/>
      <c r="S34" s="92"/>
      <c r="T34" s="92"/>
      <c r="U34" s="145">
        <f>F34</f>
        <v>30800</v>
      </c>
      <c r="V34" s="92"/>
      <c r="W34" s="3" t="s">
        <v>31</v>
      </c>
      <c r="X34" s="146" t="s">
        <v>28</v>
      </c>
    </row>
    <row r="35" spans="1:24">
      <c r="A35" s="73" t="s">
        <v>114</v>
      </c>
      <c r="B35" s="74" t="s">
        <v>45</v>
      </c>
      <c r="C35" s="86" t="s">
        <v>102</v>
      </c>
      <c r="D35" s="1" t="s">
        <v>27</v>
      </c>
      <c r="E35" s="75">
        <v>1</v>
      </c>
      <c r="F35" s="109">
        <v>320000</v>
      </c>
      <c r="G35" s="88">
        <f t="shared" si="4"/>
        <v>320000</v>
      </c>
      <c r="H35" s="89"/>
      <c r="I35" s="120" t="str">
        <f ca="1" t="shared" si="0"/>
        <v>10/28/2025</v>
      </c>
      <c r="J35" s="89"/>
      <c r="K35" s="76" t="s">
        <v>28</v>
      </c>
      <c r="L35" s="88" t="s">
        <v>38</v>
      </c>
      <c r="M35" s="122">
        <v>40</v>
      </c>
      <c r="N35" s="109">
        <f t="shared" si="2"/>
        <v>8000</v>
      </c>
      <c r="O35" s="79" t="s">
        <v>109</v>
      </c>
      <c r="P35" s="49"/>
      <c r="Q35" s="92">
        <f>F35</f>
        <v>320000</v>
      </c>
      <c r="R35" s="92"/>
      <c r="S35" s="92"/>
      <c r="T35" s="92"/>
      <c r="U35" s="88"/>
      <c r="V35" s="92"/>
      <c r="W35" s="3" t="s">
        <v>31</v>
      </c>
      <c r="X35" s="146" t="s">
        <v>28</v>
      </c>
    </row>
    <row r="36" spans="1:24">
      <c r="A36" s="73" t="s">
        <v>115</v>
      </c>
      <c r="B36" s="99" t="s">
        <v>45</v>
      </c>
      <c r="C36" s="86" t="s">
        <v>102</v>
      </c>
      <c r="D36" s="1" t="s">
        <v>27</v>
      </c>
      <c r="E36" s="75">
        <v>1</v>
      </c>
      <c r="F36" s="100">
        <f>130000*4.5</f>
        <v>585000</v>
      </c>
      <c r="G36" s="88">
        <f t="shared" ref="G36:G41" si="5">F36*E36</f>
        <v>585000</v>
      </c>
      <c r="H36" s="101"/>
      <c r="I36" s="120" t="str">
        <f ca="1" t="shared" si="0"/>
        <v>1/8/2025</v>
      </c>
      <c r="J36" s="132"/>
      <c r="K36" s="76" t="s">
        <v>28</v>
      </c>
      <c r="L36" s="103" t="s">
        <v>116</v>
      </c>
      <c r="M36" s="133">
        <v>4</v>
      </c>
      <c r="N36" s="109">
        <f t="shared" si="2"/>
        <v>146250</v>
      </c>
      <c r="O36" s="79" t="s">
        <v>117</v>
      </c>
      <c r="P36" s="49"/>
      <c r="Q36" s="135">
        <f>F36</f>
        <v>585000</v>
      </c>
      <c r="R36" s="135"/>
      <c r="S36" s="135"/>
      <c r="T36" s="135"/>
      <c r="U36" s="103"/>
      <c r="V36" s="135"/>
      <c r="W36" s="3" t="s">
        <v>31</v>
      </c>
      <c r="X36" s="146" t="s">
        <v>28</v>
      </c>
    </row>
    <row r="37" spans="1:24">
      <c r="A37" s="73" t="s">
        <v>118</v>
      </c>
      <c r="B37" s="99" t="s">
        <v>45</v>
      </c>
      <c r="C37" s="86" t="s">
        <v>102</v>
      </c>
      <c r="D37" s="1" t="s">
        <v>27</v>
      </c>
      <c r="E37" s="75">
        <v>1</v>
      </c>
      <c r="F37" s="100">
        <v>12500</v>
      </c>
      <c r="G37" s="103">
        <f t="shared" si="5"/>
        <v>12500</v>
      </c>
      <c r="H37" s="101"/>
      <c r="I37" s="120" t="str">
        <f ca="1" t="shared" si="0"/>
        <v>7/15/2025</v>
      </c>
      <c r="J37" s="132"/>
      <c r="K37" s="76" t="s">
        <v>28</v>
      </c>
      <c r="L37" s="103" t="s">
        <v>38</v>
      </c>
      <c r="M37" s="133">
        <v>14</v>
      </c>
      <c r="N37" s="138">
        <f t="shared" si="2"/>
        <v>892.857142857143</v>
      </c>
      <c r="O37" s="79" t="s">
        <v>100</v>
      </c>
      <c r="P37" s="135"/>
      <c r="Q37" s="135"/>
      <c r="R37" s="135">
        <f>F37</f>
        <v>12500</v>
      </c>
      <c r="S37" s="135"/>
      <c r="T37" s="135"/>
      <c r="U37" s="103"/>
      <c r="V37" s="135"/>
      <c r="W37" s="149" t="s">
        <v>43</v>
      </c>
      <c r="X37" s="146" t="s">
        <v>28</v>
      </c>
    </row>
    <row r="38" spans="1:24">
      <c r="A38" s="73" t="s">
        <v>119</v>
      </c>
      <c r="B38" s="99" t="s">
        <v>45</v>
      </c>
      <c r="C38" s="86" t="s">
        <v>102</v>
      </c>
      <c r="D38" s="1" t="s">
        <v>27</v>
      </c>
      <c r="E38" s="75">
        <v>1</v>
      </c>
      <c r="F38" s="100">
        <v>15640</v>
      </c>
      <c r="G38" s="103">
        <f t="shared" si="5"/>
        <v>15640</v>
      </c>
      <c r="H38" s="101"/>
      <c r="I38" s="120" t="str">
        <f ca="1" t="shared" si="0"/>
        <v>3/4/2025</v>
      </c>
      <c r="J38" s="132"/>
      <c r="K38" s="76" t="s">
        <v>28</v>
      </c>
      <c r="L38" s="103" t="s">
        <v>38</v>
      </c>
      <c r="M38" s="133">
        <v>3</v>
      </c>
      <c r="N38" s="138">
        <f t="shared" si="2"/>
        <v>5213.33333333333</v>
      </c>
      <c r="P38" s="135"/>
      <c r="Q38" s="135"/>
      <c r="R38" s="135">
        <f>F39</f>
        <v>15025</v>
      </c>
      <c r="S38" s="135"/>
      <c r="T38" s="135"/>
      <c r="U38" s="103"/>
      <c r="V38" s="135"/>
      <c r="W38" s="149" t="s">
        <v>43</v>
      </c>
      <c r="X38" s="146" t="s">
        <v>28</v>
      </c>
    </row>
    <row r="39" spans="1:24">
      <c r="A39" s="73" t="s">
        <v>120</v>
      </c>
      <c r="B39" s="74" t="s">
        <v>45</v>
      </c>
      <c r="C39" s="86" t="s">
        <v>102</v>
      </c>
      <c r="D39" s="1" t="s">
        <v>27</v>
      </c>
      <c r="E39" s="75">
        <v>1</v>
      </c>
      <c r="F39" s="100">
        <v>15025</v>
      </c>
      <c r="G39" s="103">
        <f t="shared" si="5"/>
        <v>15025</v>
      </c>
      <c r="H39" s="101"/>
      <c r="I39" s="120" t="str">
        <f ca="1" t="shared" si="0"/>
        <v>10/10/2025</v>
      </c>
      <c r="J39" s="132"/>
      <c r="K39" s="76" t="s">
        <v>28</v>
      </c>
      <c r="L39" s="103" t="s">
        <v>38</v>
      </c>
      <c r="M39" s="133">
        <v>128</v>
      </c>
      <c r="N39" s="138">
        <f t="shared" si="2"/>
        <v>117.3828125</v>
      </c>
      <c r="P39" s="135"/>
      <c r="Q39" s="135"/>
      <c r="R39" s="135">
        <f>F39</f>
        <v>15025</v>
      </c>
      <c r="S39" s="135"/>
      <c r="T39" s="135"/>
      <c r="U39" s="103"/>
      <c r="V39" s="135"/>
      <c r="W39" s="149" t="s">
        <v>43</v>
      </c>
      <c r="X39" s="146" t="s">
        <v>28</v>
      </c>
    </row>
    <row r="40" spans="1:24">
      <c r="A40" s="73" t="s">
        <v>121</v>
      </c>
      <c r="B40" s="74" t="s">
        <v>33</v>
      </c>
      <c r="C40" s="86" t="s">
        <v>122</v>
      </c>
      <c r="D40" s="1" t="s">
        <v>27</v>
      </c>
      <c r="E40" s="75">
        <v>1</v>
      </c>
      <c r="F40" s="87">
        <v>11000</v>
      </c>
      <c r="G40" s="88">
        <f t="shared" si="5"/>
        <v>11000</v>
      </c>
      <c r="H40" s="89"/>
      <c r="I40" s="120" t="str">
        <f ca="1" t="shared" si="0"/>
        <v>2/22/2025</v>
      </c>
      <c r="J40" s="89"/>
      <c r="K40" s="76" t="s">
        <v>28</v>
      </c>
      <c r="L40" s="88" t="s">
        <v>38</v>
      </c>
      <c r="M40" s="126">
        <f>12*120</f>
        <v>1440</v>
      </c>
      <c r="N40" s="91">
        <f t="shared" si="2"/>
        <v>7.63888888888889</v>
      </c>
      <c r="O40" s="79" t="s">
        <v>42</v>
      </c>
      <c r="P40" s="92"/>
      <c r="Q40" s="92"/>
      <c r="R40" s="92"/>
      <c r="S40" s="92"/>
      <c r="T40" s="92"/>
      <c r="U40" s="145">
        <v>11030</v>
      </c>
      <c r="V40" s="92"/>
      <c r="W40" s="149" t="s">
        <v>43</v>
      </c>
      <c r="X40" s="146" t="s">
        <v>28</v>
      </c>
    </row>
    <row r="41" spans="1:24">
      <c r="A41" s="73" t="s">
        <v>123</v>
      </c>
      <c r="B41" s="74" t="s">
        <v>33</v>
      </c>
      <c r="C41" s="86" t="s">
        <v>124</v>
      </c>
      <c r="D41" s="1" t="s">
        <v>27</v>
      </c>
      <c r="E41" s="75">
        <v>0.018</v>
      </c>
      <c r="F41" s="87">
        <v>28000</v>
      </c>
      <c r="G41" s="88">
        <f t="shared" si="5"/>
        <v>504</v>
      </c>
      <c r="H41" s="89"/>
      <c r="I41" s="120" t="str">
        <f ca="1" t="shared" si="0"/>
        <v>12/30/2025</v>
      </c>
      <c r="J41" s="130"/>
      <c r="K41" s="76" t="s">
        <v>28</v>
      </c>
      <c r="L41" s="88" t="s">
        <v>38</v>
      </c>
      <c r="M41" s="122">
        <v>450</v>
      </c>
      <c r="N41" s="91">
        <f t="shared" si="2"/>
        <v>62.2222222222222</v>
      </c>
      <c r="P41" s="92"/>
      <c r="Q41" s="92"/>
      <c r="R41" s="92"/>
      <c r="S41" s="92"/>
      <c r="T41" s="92"/>
      <c r="U41" s="88"/>
      <c r="V41" s="92">
        <f>Table6[[#This Row],[Value (RM)]]</f>
        <v>28000</v>
      </c>
      <c r="W41" s="149" t="s">
        <v>43</v>
      </c>
      <c r="X41" s="146">
        <v>45941</v>
      </c>
    </row>
    <row r="42" spans="1:24">
      <c r="A42" s="73" t="s">
        <v>125</v>
      </c>
      <c r="B42" s="74" t="s">
        <v>33</v>
      </c>
      <c r="C42" s="86" t="s">
        <v>126</v>
      </c>
      <c r="D42" s="86" t="s">
        <v>27</v>
      </c>
      <c r="E42" s="110">
        <v>1</v>
      </c>
      <c r="F42" s="87">
        <f>204000-F43</f>
        <v>-31000</v>
      </c>
      <c r="G42" s="88">
        <f t="shared" ref="G42:G53" si="6">E42*F42</f>
        <v>-31000</v>
      </c>
      <c r="H42" s="111"/>
      <c r="I42" s="120" t="str">
        <f ca="1" t="shared" si="0"/>
        <v>9/23/2025</v>
      </c>
      <c r="J42" s="111"/>
      <c r="K42" s="76" t="s">
        <v>28</v>
      </c>
      <c r="L42" s="88" t="s">
        <v>38</v>
      </c>
      <c r="M42" s="122">
        <f>2/8*778</f>
        <v>194.5</v>
      </c>
      <c r="N42" s="91">
        <f t="shared" si="2"/>
        <v>-159.383033419023</v>
      </c>
      <c r="O42" s="79" t="s">
        <v>127</v>
      </c>
      <c r="P42" s="92"/>
      <c r="Q42" s="92"/>
      <c r="R42" s="92"/>
      <c r="S42" s="92"/>
      <c r="T42" s="92"/>
      <c r="U42" s="145">
        <f>F42</f>
        <v>-31000</v>
      </c>
      <c r="V42" s="92"/>
      <c r="W42" s="149" t="s">
        <v>43</v>
      </c>
      <c r="X42" s="146" t="s">
        <v>28</v>
      </c>
    </row>
    <row r="43" spans="1:24">
      <c r="A43" s="73" t="s">
        <v>128</v>
      </c>
      <c r="B43" s="74" t="s">
        <v>33</v>
      </c>
      <c r="C43" s="112" t="s">
        <v>129</v>
      </c>
      <c r="D43" s="86" t="s">
        <v>27</v>
      </c>
      <c r="E43" s="75">
        <v>1</v>
      </c>
      <c r="F43" s="94">
        <v>235000</v>
      </c>
      <c r="G43" s="88">
        <f t="shared" si="6"/>
        <v>235000</v>
      </c>
      <c r="H43" s="98"/>
      <c r="I43" s="120" t="str">
        <f ca="1" t="shared" si="0"/>
        <v>6/9/2025</v>
      </c>
      <c r="J43" s="98"/>
      <c r="K43" s="76" t="s">
        <v>28</v>
      </c>
      <c r="L43" s="123" t="s">
        <v>38</v>
      </c>
      <c r="M43" s="124">
        <v>3295</v>
      </c>
      <c r="N43" s="91">
        <f t="shared" si="2"/>
        <v>71.3201820940819</v>
      </c>
      <c r="O43" s="79" t="s">
        <v>56</v>
      </c>
      <c r="P43" s="49"/>
      <c r="Q43" s="49"/>
      <c r="R43" s="127">
        <f>F43</f>
        <v>235000</v>
      </c>
      <c r="S43" s="147"/>
      <c r="T43" s="147"/>
      <c r="U43" s="127"/>
      <c r="V43" s="127"/>
      <c r="W43" s="200" t="s">
        <v>61</v>
      </c>
      <c r="X43" s="146" t="s">
        <v>28</v>
      </c>
    </row>
    <row r="44" ht="100.8" spans="1:24">
      <c r="A44" s="73" t="s">
        <v>130</v>
      </c>
      <c r="B44" s="74" t="s">
        <v>25</v>
      </c>
      <c r="C44" s="86" t="s">
        <v>131</v>
      </c>
      <c r="D44" s="86" t="s">
        <v>67</v>
      </c>
      <c r="E44" s="113">
        <v>1</v>
      </c>
      <c r="F44" s="87">
        <v>275000</v>
      </c>
      <c r="G44" s="88">
        <f t="shared" si="6"/>
        <v>275000</v>
      </c>
      <c r="H44" s="89"/>
      <c r="I44" s="120" t="str">
        <f ca="1" t="shared" si="0"/>
        <v>9/24/2025</v>
      </c>
      <c r="J44" s="89"/>
      <c r="K44" s="76">
        <v>45875</v>
      </c>
      <c r="L44" s="88" t="s">
        <v>47</v>
      </c>
      <c r="M44" s="122">
        <v>3</v>
      </c>
      <c r="N44" s="91">
        <f t="shared" si="2"/>
        <v>91666.6666666667</v>
      </c>
      <c r="O44" s="79" t="s">
        <v>132</v>
      </c>
      <c r="P44" s="88">
        <f t="shared" ref="P44:P51" si="7">F44</f>
        <v>275000</v>
      </c>
      <c r="Q44" s="88"/>
      <c r="R44" s="92"/>
      <c r="S44" s="92"/>
      <c r="T44" s="92"/>
      <c r="V44" s="49"/>
      <c r="W44" s="201" t="s">
        <v>64</v>
      </c>
      <c r="X44" s="146" t="s">
        <v>28</v>
      </c>
    </row>
    <row r="45" ht="28.8" spans="1:24">
      <c r="A45" s="73" t="s">
        <v>133</v>
      </c>
      <c r="B45" s="74" t="s">
        <v>25</v>
      </c>
      <c r="C45" s="86" t="s">
        <v>131</v>
      </c>
      <c r="D45" s="86" t="s">
        <v>27</v>
      </c>
      <c r="E45" s="113">
        <v>1</v>
      </c>
      <c r="F45" s="87">
        <f>308200/7.5</f>
        <v>41093.3333333333</v>
      </c>
      <c r="G45" s="88">
        <f t="shared" si="6"/>
        <v>41093.3333333333</v>
      </c>
      <c r="H45" s="89"/>
      <c r="I45" s="120" t="str">
        <f ca="1" t="shared" si="0"/>
        <v>9/21/2025</v>
      </c>
      <c r="J45" s="89"/>
      <c r="K45" s="76" t="s">
        <v>28</v>
      </c>
      <c r="L45" s="88" t="s">
        <v>59</v>
      </c>
      <c r="M45" s="122">
        <v>1</v>
      </c>
      <c r="N45" s="91">
        <f t="shared" si="2"/>
        <v>41093.3333333333</v>
      </c>
      <c r="O45" s="79" t="s">
        <v>134</v>
      </c>
      <c r="P45" s="92">
        <f t="shared" si="7"/>
        <v>41093.3333333333</v>
      </c>
      <c r="Q45" s="92"/>
      <c r="U45" s="88"/>
      <c r="V45" s="92"/>
      <c r="W45" s="149" t="s">
        <v>43</v>
      </c>
      <c r="X45" s="146" t="s">
        <v>28</v>
      </c>
    </row>
    <row r="46" spans="1:24">
      <c r="A46" s="114" t="s">
        <v>135</v>
      </c>
      <c r="B46" s="74" t="s">
        <v>25</v>
      </c>
      <c r="C46" s="86" t="s">
        <v>131</v>
      </c>
      <c r="D46" s="86" t="s">
        <v>27</v>
      </c>
      <c r="E46" s="113">
        <v>1</v>
      </c>
      <c r="F46" s="87">
        <v>56000</v>
      </c>
      <c r="G46" s="88">
        <f t="shared" si="6"/>
        <v>56000</v>
      </c>
      <c r="H46" s="89"/>
      <c r="I46" s="120" t="str">
        <f ca="1" t="shared" si="0"/>
        <v>10/30/2025</v>
      </c>
      <c r="J46" s="89"/>
      <c r="K46" s="76" t="s">
        <v>28</v>
      </c>
      <c r="L46" s="88" t="s">
        <v>47</v>
      </c>
      <c r="M46" s="122">
        <v>2</v>
      </c>
      <c r="N46" s="91">
        <f t="shared" si="2"/>
        <v>28000</v>
      </c>
      <c r="O46" s="79" t="s">
        <v>132</v>
      </c>
      <c r="P46" s="92">
        <f t="shared" si="7"/>
        <v>56000</v>
      </c>
      <c r="Q46" s="92"/>
      <c r="U46" s="88"/>
      <c r="V46" s="92"/>
      <c r="W46" s="149" t="s">
        <v>43</v>
      </c>
      <c r="X46" s="146" t="s">
        <v>28</v>
      </c>
    </row>
    <row r="47" ht="28.8" spans="1:24">
      <c r="A47" s="73" t="s">
        <v>136</v>
      </c>
      <c r="B47" s="74" t="s">
        <v>25</v>
      </c>
      <c r="C47" s="86" t="s">
        <v>131</v>
      </c>
      <c r="D47" s="86" t="s">
        <v>27</v>
      </c>
      <c r="E47" s="113">
        <v>1</v>
      </c>
      <c r="F47" s="87">
        <v>55000</v>
      </c>
      <c r="G47" s="88">
        <f t="shared" si="6"/>
        <v>55000</v>
      </c>
      <c r="H47" s="89"/>
      <c r="I47" s="120" t="str">
        <f ca="1" t="shared" si="0"/>
        <v>7/22/2025</v>
      </c>
      <c r="J47" s="89"/>
      <c r="K47" s="76" t="s">
        <v>28</v>
      </c>
      <c r="L47" s="88" t="s">
        <v>68</v>
      </c>
      <c r="M47" s="122">
        <v>1</v>
      </c>
      <c r="N47" s="109">
        <f t="shared" si="2"/>
        <v>55000</v>
      </c>
      <c r="O47" s="79" t="s">
        <v>137</v>
      </c>
      <c r="P47" s="92">
        <f t="shared" si="7"/>
        <v>55000</v>
      </c>
      <c r="Q47" s="92"/>
      <c r="U47" s="88"/>
      <c r="V47" s="92"/>
      <c r="W47" s="149" t="s">
        <v>43</v>
      </c>
      <c r="X47" s="146" t="s">
        <v>28</v>
      </c>
    </row>
    <row r="48" ht="28.8" spans="1:24">
      <c r="A48" s="73" t="s">
        <v>138</v>
      </c>
      <c r="B48" s="74" t="s">
        <v>25</v>
      </c>
      <c r="C48" s="86" t="s">
        <v>131</v>
      </c>
      <c r="D48" s="86" t="s">
        <v>27</v>
      </c>
      <c r="E48" s="113">
        <v>1</v>
      </c>
      <c r="F48" s="87">
        <v>180000</v>
      </c>
      <c r="G48" s="88">
        <f t="shared" si="6"/>
        <v>180000</v>
      </c>
      <c r="H48" s="89"/>
      <c r="I48" s="120" t="str">
        <f ca="1" t="shared" si="0"/>
        <v>11/5/2025</v>
      </c>
      <c r="J48" s="89"/>
      <c r="K48" s="76" t="s">
        <v>28</v>
      </c>
      <c r="L48" s="88" t="s">
        <v>68</v>
      </c>
      <c r="M48" s="122">
        <v>1</v>
      </c>
      <c r="N48" s="109">
        <f t="shared" si="2"/>
        <v>180000</v>
      </c>
      <c r="O48" s="79" t="s">
        <v>137</v>
      </c>
      <c r="P48" s="92">
        <f t="shared" si="7"/>
        <v>180000</v>
      </c>
      <c r="Q48" s="92"/>
      <c r="U48" s="88"/>
      <c r="V48" s="92"/>
      <c r="W48" s="149" t="s">
        <v>43</v>
      </c>
      <c r="X48" s="146" t="s">
        <v>28</v>
      </c>
    </row>
    <row r="49" spans="1:24">
      <c r="A49" s="73" t="s">
        <v>139</v>
      </c>
      <c r="B49" s="74" t="s">
        <v>25</v>
      </c>
      <c r="C49" s="86" t="s">
        <v>131</v>
      </c>
      <c r="D49" s="86" t="s">
        <v>27</v>
      </c>
      <c r="E49" s="113">
        <v>1</v>
      </c>
      <c r="F49" s="87">
        <v>12800</v>
      </c>
      <c r="G49" s="88">
        <f t="shared" si="6"/>
        <v>12800</v>
      </c>
      <c r="H49" s="89"/>
      <c r="I49" s="120" t="str">
        <f ca="1" t="shared" si="0"/>
        <v>7/30/2025</v>
      </c>
      <c r="J49" s="89"/>
      <c r="K49" s="76" t="s">
        <v>28</v>
      </c>
      <c r="L49" s="88" t="s">
        <v>68</v>
      </c>
      <c r="M49" s="122">
        <v>1</v>
      </c>
      <c r="N49" s="109">
        <f t="shared" si="2"/>
        <v>12800</v>
      </c>
      <c r="O49" s="79" t="s">
        <v>107</v>
      </c>
      <c r="P49" s="92">
        <f t="shared" si="7"/>
        <v>12800</v>
      </c>
      <c r="Q49" s="92"/>
      <c r="U49" s="88"/>
      <c r="V49" s="92"/>
      <c r="W49" s="149" t="s">
        <v>43</v>
      </c>
      <c r="X49" s="146" t="s">
        <v>28</v>
      </c>
    </row>
    <row r="50" ht="28.8" spans="1:24">
      <c r="A50" s="73" t="s">
        <v>140</v>
      </c>
      <c r="B50" s="74" t="s">
        <v>25</v>
      </c>
      <c r="C50" s="86" t="s">
        <v>131</v>
      </c>
      <c r="D50" s="86" t="s">
        <v>27</v>
      </c>
      <c r="E50" s="113">
        <v>1</v>
      </c>
      <c r="F50" s="87">
        <v>15500</v>
      </c>
      <c r="G50" s="88">
        <f t="shared" si="6"/>
        <v>15500</v>
      </c>
      <c r="H50" s="89"/>
      <c r="I50" s="120" t="str">
        <f ca="1" t="shared" si="0"/>
        <v>8/26/2025</v>
      </c>
      <c r="J50" s="89"/>
      <c r="K50" s="76" t="s">
        <v>28</v>
      </c>
      <c r="L50" s="88" t="s">
        <v>68</v>
      </c>
      <c r="M50" s="122">
        <v>1</v>
      </c>
      <c r="N50" s="109">
        <f t="shared" si="2"/>
        <v>15500</v>
      </c>
      <c r="O50" s="79" t="s">
        <v>107</v>
      </c>
      <c r="P50" s="92">
        <f t="shared" si="7"/>
        <v>15500</v>
      </c>
      <c r="Q50" s="92"/>
      <c r="U50" s="88"/>
      <c r="V50" s="92"/>
      <c r="W50" s="202" t="s">
        <v>141</v>
      </c>
      <c r="X50" s="146" t="s">
        <v>28</v>
      </c>
    </row>
    <row r="51" spans="1:24">
      <c r="A51" s="114" t="s">
        <v>142</v>
      </c>
      <c r="B51" s="74" t="s">
        <v>25</v>
      </c>
      <c r="C51" s="86" t="s">
        <v>131</v>
      </c>
      <c r="D51" s="1" t="s">
        <v>27</v>
      </c>
      <c r="E51" s="113">
        <v>1</v>
      </c>
      <c r="F51" s="87">
        <v>78216</v>
      </c>
      <c r="G51" s="88">
        <f t="shared" si="6"/>
        <v>78216</v>
      </c>
      <c r="H51" s="89"/>
      <c r="I51" s="120" t="str">
        <f ca="1" t="shared" si="0"/>
        <v>1/18/2025</v>
      </c>
      <c r="J51" s="89"/>
      <c r="K51" s="76" t="s">
        <v>28</v>
      </c>
      <c r="L51" s="88" t="s">
        <v>59</v>
      </c>
      <c r="M51" s="122">
        <v>1</v>
      </c>
      <c r="N51" s="91">
        <f t="shared" si="2"/>
        <v>78216</v>
      </c>
      <c r="O51" s="79" t="s">
        <v>143</v>
      </c>
      <c r="P51" s="92">
        <f t="shared" si="7"/>
        <v>78216</v>
      </c>
      <c r="Q51" s="92"/>
      <c r="R51" s="92"/>
      <c r="S51" s="92"/>
      <c r="T51" s="92"/>
      <c r="U51" s="88"/>
      <c r="V51" s="92"/>
      <c r="W51" s="3" t="s">
        <v>144</v>
      </c>
      <c r="X51" s="146" t="s">
        <v>28</v>
      </c>
    </row>
    <row r="52" spans="1:24">
      <c r="A52" s="73" t="s">
        <v>145</v>
      </c>
      <c r="B52" s="74" t="s">
        <v>33</v>
      </c>
      <c r="C52" s="86" t="s">
        <v>146</v>
      </c>
      <c r="D52" s="86" t="s">
        <v>27</v>
      </c>
      <c r="E52" s="90">
        <v>1</v>
      </c>
      <c r="F52" s="94">
        <v>60343</v>
      </c>
      <c r="G52" s="88">
        <f t="shared" si="6"/>
        <v>60343</v>
      </c>
      <c r="H52" s="98"/>
      <c r="I52" s="120" t="str">
        <f ca="1" t="shared" si="0"/>
        <v>11/30/2025</v>
      </c>
      <c r="J52" s="98"/>
      <c r="K52" s="76" t="s">
        <v>28</v>
      </c>
      <c r="L52" s="123" t="s">
        <v>38</v>
      </c>
      <c r="M52" s="124">
        <v>251</v>
      </c>
      <c r="N52" s="91">
        <f t="shared" si="2"/>
        <v>240.410358565737</v>
      </c>
      <c r="O52" s="79" t="s">
        <v>147</v>
      </c>
      <c r="P52" s="127"/>
      <c r="Q52" s="127"/>
      <c r="R52" s="147"/>
      <c r="S52" s="147"/>
      <c r="T52" s="147"/>
      <c r="U52" s="148">
        <f>F52</f>
        <v>60343</v>
      </c>
      <c r="V52" s="127"/>
      <c r="W52" s="3" t="s">
        <v>144</v>
      </c>
      <c r="X52" s="146" t="s">
        <v>28</v>
      </c>
    </row>
    <row r="53" spans="1:24">
      <c r="A53" s="73" t="s">
        <v>78</v>
      </c>
      <c r="B53" s="74" t="s">
        <v>33</v>
      </c>
      <c r="C53" s="86" t="s">
        <v>146</v>
      </c>
      <c r="D53" s="86" t="s">
        <v>27</v>
      </c>
      <c r="E53" s="97">
        <v>1</v>
      </c>
      <c r="F53" s="87">
        <v>73000</v>
      </c>
      <c r="G53" s="88">
        <f t="shared" si="6"/>
        <v>73000</v>
      </c>
      <c r="H53" s="89"/>
      <c r="I53" s="120" t="str">
        <f ca="1" t="shared" si="0"/>
        <v>10/29/2025</v>
      </c>
      <c r="J53" s="89"/>
      <c r="K53" s="76" t="s">
        <v>28</v>
      </c>
      <c r="L53" s="88" t="s">
        <v>80</v>
      </c>
      <c r="M53" s="122">
        <v>12</v>
      </c>
      <c r="N53" s="139">
        <f t="shared" si="2"/>
        <v>6083.33333333333</v>
      </c>
      <c r="O53" s="79" t="s">
        <v>148</v>
      </c>
      <c r="P53" s="92"/>
      <c r="Q53" s="92"/>
      <c r="R53" s="92"/>
      <c r="S53" s="92"/>
      <c r="T53" s="92"/>
      <c r="U53" s="145">
        <f>F53</f>
        <v>73000</v>
      </c>
      <c r="V53" s="92"/>
      <c r="W53" s="3" t="s">
        <v>144</v>
      </c>
      <c r="X53" s="146" t="s">
        <v>28</v>
      </c>
    </row>
    <row r="54" spans="1:24">
      <c r="A54" s="73" t="s">
        <v>149</v>
      </c>
      <c r="B54" s="99" t="s">
        <v>33</v>
      </c>
      <c r="C54" s="86" t="s">
        <v>146</v>
      </c>
      <c r="D54" s="1" t="s">
        <v>27</v>
      </c>
      <c r="E54" s="75">
        <v>1</v>
      </c>
      <c r="F54" s="100">
        <v>50800</v>
      </c>
      <c r="G54" s="103">
        <f>F54*E54</f>
        <v>50800</v>
      </c>
      <c r="H54" s="101"/>
      <c r="I54" s="120" t="str">
        <f ca="1" t="shared" si="0"/>
        <v>11/17/2025</v>
      </c>
      <c r="J54" s="132"/>
      <c r="K54" s="76" t="s">
        <v>28</v>
      </c>
      <c r="L54" s="103" t="s">
        <v>35</v>
      </c>
      <c r="M54" s="133"/>
      <c r="N54" s="134" t="e">
        <f t="shared" si="2"/>
        <v>#DIV/0!</v>
      </c>
      <c r="O54" s="79" t="s">
        <v>150</v>
      </c>
      <c r="P54" s="135">
        <v>50800</v>
      </c>
      <c r="Q54" s="135"/>
      <c r="R54" s="135"/>
      <c r="S54" s="135"/>
      <c r="T54" s="135"/>
      <c r="U54" s="103"/>
      <c r="V54" s="135"/>
      <c r="W54" s="3" t="s">
        <v>144</v>
      </c>
      <c r="X54" s="146" t="s">
        <v>28</v>
      </c>
    </row>
    <row r="55" spans="1:24">
      <c r="A55" s="73" t="s">
        <v>151</v>
      </c>
      <c r="B55" s="74" t="s">
        <v>33</v>
      </c>
      <c r="C55" s="86" t="s">
        <v>152</v>
      </c>
      <c r="D55" s="86" t="s">
        <v>27</v>
      </c>
      <c r="E55" s="97">
        <v>1</v>
      </c>
      <c r="F55" s="87">
        <v>195000</v>
      </c>
      <c r="G55" s="88">
        <f>E55*F55</f>
        <v>195000</v>
      </c>
      <c r="H55" s="89"/>
      <c r="I55" s="120" t="str">
        <f ca="1" t="shared" si="0"/>
        <v>4/29/2025</v>
      </c>
      <c r="J55" s="89"/>
      <c r="K55" s="76" t="s">
        <v>28</v>
      </c>
      <c r="L55" s="140" t="s">
        <v>38</v>
      </c>
      <c r="M55" s="141">
        <v>200</v>
      </c>
      <c r="N55" s="139">
        <f t="shared" si="2"/>
        <v>975</v>
      </c>
      <c r="O55" s="79" t="s">
        <v>56</v>
      </c>
      <c r="P55" s="3"/>
      <c r="Q55" s="3"/>
      <c r="R55" s="92"/>
      <c r="S55" s="92"/>
      <c r="T55" s="92"/>
      <c r="U55" s="145">
        <f>F55</f>
        <v>195000</v>
      </c>
      <c r="V55" s="92"/>
      <c r="W55" s="3" t="s">
        <v>144</v>
      </c>
      <c r="X55" s="146" t="s">
        <v>28</v>
      </c>
    </row>
    <row r="56" ht="28.8" spans="1:24">
      <c r="A56" s="73" t="s">
        <v>153</v>
      </c>
      <c r="B56" s="74" t="s">
        <v>33</v>
      </c>
      <c r="C56" s="86" t="s">
        <v>55</v>
      </c>
      <c r="D56" s="1" t="s">
        <v>27</v>
      </c>
      <c r="E56" s="75">
        <v>1</v>
      </c>
      <c r="F56" s="100">
        <v>50000</v>
      </c>
      <c r="G56" s="103">
        <f>F56*E56</f>
        <v>50000</v>
      </c>
      <c r="H56" s="101"/>
      <c r="I56" s="120" t="str">
        <f ca="1" t="shared" si="0"/>
        <v>11/23/2025</v>
      </c>
      <c r="J56" s="132"/>
      <c r="K56" s="76" t="s">
        <v>28</v>
      </c>
      <c r="L56" s="103" t="s">
        <v>59</v>
      </c>
      <c r="M56" s="133">
        <v>1</v>
      </c>
      <c r="N56" s="138">
        <f t="shared" si="2"/>
        <v>50000</v>
      </c>
      <c r="O56" s="79" t="s">
        <v>69</v>
      </c>
      <c r="P56" s="135"/>
      <c r="Q56" s="135"/>
      <c r="R56" s="135">
        <f>F56</f>
        <v>50000</v>
      </c>
      <c r="S56" s="135"/>
      <c r="T56" s="135"/>
      <c r="U56" s="103"/>
      <c r="V56" s="135"/>
      <c r="W56" s="3" t="s">
        <v>144</v>
      </c>
      <c r="X56" s="146" t="s">
        <v>28</v>
      </c>
    </row>
    <row r="57" spans="1:24">
      <c r="A57" s="73" t="s">
        <v>154</v>
      </c>
      <c r="B57" s="74" t="s">
        <v>33</v>
      </c>
      <c r="C57" s="86" t="s">
        <v>155</v>
      </c>
      <c r="D57" s="86" t="s">
        <v>27</v>
      </c>
      <c r="E57" s="75">
        <v>1</v>
      </c>
      <c r="F57" s="87">
        <v>69000</v>
      </c>
      <c r="G57" s="88">
        <f>E57*F57</f>
        <v>69000</v>
      </c>
      <c r="H57" s="89"/>
      <c r="I57" s="120" t="str">
        <f ca="1" t="shared" si="0"/>
        <v>6/2/2025</v>
      </c>
      <c r="J57" s="89"/>
      <c r="K57" s="76" t="s">
        <v>28</v>
      </c>
      <c r="L57" s="88" t="s">
        <v>80</v>
      </c>
      <c r="M57" s="122">
        <v>12</v>
      </c>
      <c r="N57" s="91">
        <f t="shared" si="2"/>
        <v>5750</v>
      </c>
      <c r="O57" s="79" t="s">
        <v>148</v>
      </c>
      <c r="P57" s="92"/>
      <c r="Q57" s="92"/>
      <c r="R57" s="92"/>
      <c r="S57" s="92"/>
      <c r="T57" s="92"/>
      <c r="U57" s="145">
        <f>F57</f>
        <v>69000</v>
      </c>
      <c r="V57" s="92"/>
      <c r="W57" s="3" t="s">
        <v>144</v>
      </c>
      <c r="X57" s="146" t="s">
        <v>28</v>
      </c>
    </row>
    <row r="58" spans="1:24">
      <c r="A58" s="73" t="s">
        <v>156</v>
      </c>
      <c r="B58" s="74" t="s">
        <v>33</v>
      </c>
      <c r="C58" s="86" t="s">
        <v>152</v>
      </c>
      <c r="D58" s="1" t="s">
        <v>27</v>
      </c>
      <c r="E58" s="75">
        <v>1</v>
      </c>
      <c r="F58" s="87">
        <v>40500</v>
      </c>
      <c r="G58" s="88">
        <f>F58*E58</f>
        <v>40500</v>
      </c>
      <c r="H58" s="89"/>
      <c r="I58" s="120" t="str">
        <f ca="1" t="shared" si="0"/>
        <v>6/4/2025</v>
      </c>
      <c r="J58" s="130"/>
      <c r="K58" s="76" t="s">
        <v>28</v>
      </c>
      <c r="L58" s="88" t="s">
        <v>52</v>
      </c>
      <c r="M58" s="122">
        <v>15</v>
      </c>
      <c r="N58" s="91">
        <f t="shared" si="2"/>
        <v>2700</v>
      </c>
      <c r="O58" s="79" t="s">
        <v>100</v>
      </c>
      <c r="P58" s="92"/>
      <c r="Q58" s="92"/>
      <c r="R58" s="92"/>
      <c r="S58" s="92"/>
      <c r="T58" s="92"/>
      <c r="U58" s="88">
        <f>F58</f>
        <v>40500</v>
      </c>
      <c r="V58" s="92"/>
      <c r="W58" s="3" t="s">
        <v>144</v>
      </c>
      <c r="X58" s="146" t="s">
        <v>28</v>
      </c>
    </row>
    <row r="59" spans="1:24">
      <c r="A59" s="73" t="s">
        <v>154</v>
      </c>
      <c r="B59" s="74" t="s">
        <v>33</v>
      </c>
      <c r="C59" s="86" t="s">
        <v>126</v>
      </c>
      <c r="D59" s="86" t="s">
        <v>27</v>
      </c>
      <c r="E59" s="75">
        <v>1</v>
      </c>
      <c r="F59" s="87">
        <v>78000</v>
      </c>
      <c r="G59" s="88">
        <f>E59*F59</f>
        <v>78000</v>
      </c>
      <c r="H59" s="89"/>
      <c r="I59" s="120" t="str">
        <f ca="1" t="shared" si="0"/>
        <v>2/16/2025</v>
      </c>
      <c r="J59" s="89"/>
      <c r="K59" s="76" t="s">
        <v>28</v>
      </c>
      <c r="L59" s="88" t="s">
        <v>80</v>
      </c>
      <c r="M59" s="122">
        <v>12</v>
      </c>
      <c r="N59" s="109">
        <f t="shared" si="2"/>
        <v>6500</v>
      </c>
      <c r="O59" s="79" t="s">
        <v>157</v>
      </c>
      <c r="P59" s="92"/>
      <c r="Q59" s="92"/>
      <c r="R59" s="92"/>
      <c r="S59" s="92"/>
      <c r="T59" s="92"/>
      <c r="U59" s="145">
        <f>F59</f>
        <v>78000</v>
      </c>
      <c r="V59" s="92"/>
      <c r="W59" s="3" t="s">
        <v>144</v>
      </c>
      <c r="X59" s="146" t="s">
        <v>28</v>
      </c>
    </row>
    <row r="60" spans="1:24">
      <c r="A60" s="73" t="s">
        <v>158</v>
      </c>
      <c r="B60" s="99" t="s">
        <v>33</v>
      </c>
      <c r="C60" s="86" t="s">
        <v>55</v>
      </c>
      <c r="D60" s="1" t="s">
        <v>67</v>
      </c>
      <c r="E60" s="113">
        <v>1</v>
      </c>
      <c r="F60" s="87">
        <v>5000</v>
      </c>
      <c r="G60" s="88">
        <f t="shared" ref="G60:G67" si="8">F60*E60</f>
        <v>5000</v>
      </c>
      <c r="H60" s="89"/>
      <c r="I60" s="120" t="str">
        <f ca="1" t="shared" si="0"/>
        <v>9/25/2025</v>
      </c>
      <c r="J60" s="130"/>
      <c r="K60" s="76">
        <v>45786</v>
      </c>
      <c r="L60" s="88" t="s">
        <v>52</v>
      </c>
      <c r="M60" s="122"/>
      <c r="N60" s="109" t="e">
        <f t="shared" si="2"/>
        <v>#DIV/0!</v>
      </c>
      <c r="O60" s="79" t="s">
        <v>76</v>
      </c>
      <c r="P60" s="92"/>
      <c r="Q60" s="92"/>
      <c r="R60" s="92">
        <f>F60</f>
        <v>5000</v>
      </c>
      <c r="S60" s="92"/>
      <c r="T60" s="92"/>
      <c r="U60" s="88"/>
      <c r="V60" s="92"/>
      <c r="W60" s="3" t="s">
        <v>144</v>
      </c>
      <c r="X60" s="146" t="s">
        <v>28</v>
      </c>
    </row>
    <row r="61" spans="1:24">
      <c r="A61" s="73" t="s">
        <v>159</v>
      </c>
      <c r="B61" s="99" t="s">
        <v>33</v>
      </c>
      <c r="C61" s="86" t="s">
        <v>160</v>
      </c>
      <c r="D61" s="1" t="s">
        <v>161</v>
      </c>
      <c r="E61" s="75">
        <v>1</v>
      </c>
      <c r="F61" s="100">
        <v>19500</v>
      </c>
      <c r="G61" s="103">
        <f t="shared" si="8"/>
        <v>19500</v>
      </c>
      <c r="H61" s="101"/>
      <c r="I61" s="120" t="str">
        <f ca="1" t="shared" si="0"/>
        <v>7/17/2025</v>
      </c>
      <c r="J61" s="132"/>
      <c r="K61" s="76" t="s">
        <v>28</v>
      </c>
      <c r="L61" s="103" t="s">
        <v>38</v>
      </c>
      <c r="M61" s="133">
        <v>70</v>
      </c>
      <c r="N61" s="134">
        <f t="shared" si="2"/>
        <v>278.571428571429</v>
      </c>
      <c r="O61" s="79" t="s">
        <v>162</v>
      </c>
      <c r="P61" s="135"/>
      <c r="Q61" s="135"/>
      <c r="R61" s="135"/>
      <c r="S61" s="135"/>
      <c r="T61" s="135"/>
      <c r="U61" s="103">
        <f>Table6[[#This Row],[Value (RM)]]</f>
        <v>19500</v>
      </c>
      <c r="V61" s="135"/>
      <c r="W61" s="3" t="s">
        <v>144</v>
      </c>
      <c r="X61" s="146" t="s">
        <v>28</v>
      </c>
    </row>
    <row r="62" ht="43.2" spans="1:24">
      <c r="A62" s="73" t="s">
        <v>163</v>
      </c>
      <c r="B62" s="74" t="s">
        <v>33</v>
      </c>
      <c r="C62" s="1" t="s">
        <v>164</v>
      </c>
      <c r="D62" s="1" t="s">
        <v>27</v>
      </c>
      <c r="E62" s="75">
        <v>1</v>
      </c>
      <c r="F62" s="51">
        <v>4794</v>
      </c>
      <c r="G62" s="88">
        <f t="shared" si="8"/>
        <v>4794</v>
      </c>
      <c r="I62" s="120" t="str">
        <f ca="1" t="shared" si="0"/>
        <v>4/3/2025</v>
      </c>
      <c r="K62" s="76" t="s">
        <v>28</v>
      </c>
      <c r="L62" s="1" t="s">
        <v>29</v>
      </c>
      <c r="M62" s="78">
        <v>1</v>
      </c>
      <c r="N62" s="142">
        <f t="shared" si="2"/>
        <v>4794</v>
      </c>
      <c r="O62" s="79" t="s">
        <v>165</v>
      </c>
      <c r="U62" s="49">
        <f>F62</f>
        <v>4794</v>
      </c>
      <c r="V62" s="49"/>
      <c r="W62" s="3" t="s">
        <v>144</v>
      </c>
      <c r="X62" s="146" t="s">
        <v>28</v>
      </c>
    </row>
    <row r="63" ht="43.2" spans="1:24">
      <c r="A63" s="73" t="s">
        <v>166</v>
      </c>
      <c r="B63" s="74" t="s">
        <v>33</v>
      </c>
      <c r="C63" s="1" t="s">
        <v>164</v>
      </c>
      <c r="D63" s="1" t="s">
        <v>27</v>
      </c>
      <c r="E63" s="75">
        <v>1</v>
      </c>
      <c r="F63" s="51">
        <v>3412</v>
      </c>
      <c r="G63" s="88">
        <f t="shared" si="8"/>
        <v>3412</v>
      </c>
      <c r="I63" s="120" t="str">
        <f ca="1" t="shared" si="0"/>
        <v>2/25/2025</v>
      </c>
      <c r="K63" s="76" t="s">
        <v>28</v>
      </c>
      <c r="L63" s="1" t="s">
        <v>29</v>
      </c>
      <c r="M63" s="78">
        <v>1</v>
      </c>
      <c r="N63" s="142">
        <f t="shared" si="2"/>
        <v>3412</v>
      </c>
      <c r="O63" s="79" t="s">
        <v>165</v>
      </c>
      <c r="U63" s="49">
        <f>F63</f>
        <v>3412</v>
      </c>
      <c r="V63" s="49"/>
      <c r="W63" s="3" t="s">
        <v>144</v>
      </c>
      <c r="X63" s="146" t="s">
        <v>28</v>
      </c>
    </row>
    <row r="64" ht="57.6" spans="1:24">
      <c r="A64" s="73" t="s">
        <v>167</v>
      </c>
      <c r="B64" s="74" t="s">
        <v>33</v>
      </c>
      <c r="C64" s="1" t="s">
        <v>164</v>
      </c>
      <c r="D64" s="1" t="s">
        <v>67</v>
      </c>
      <c r="E64" s="75">
        <v>1</v>
      </c>
      <c r="F64" s="51">
        <v>12210</v>
      </c>
      <c r="G64" s="88">
        <f t="shared" si="8"/>
        <v>12210</v>
      </c>
      <c r="I64" s="120" t="str">
        <f ca="1" t="shared" si="0"/>
        <v>9/17/2025</v>
      </c>
      <c r="J64" s="77">
        <v>7</v>
      </c>
      <c r="K64" s="76">
        <f ca="1">I64+J64+15</f>
        <v>45939</v>
      </c>
      <c r="L64" s="1" t="s">
        <v>168</v>
      </c>
      <c r="M64" s="78">
        <v>1</v>
      </c>
      <c r="N64" s="142">
        <f t="shared" si="2"/>
        <v>12210</v>
      </c>
      <c r="O64" s="79" t="s">
        <v>56</v>
      </c>
      <c r="U64" s="49">
        <f>F64</f>
        <v>12210</v>
      </c>
      <c r="V64" s="49"/>
      <c r="W64" s="3" t="s">
        <v>144</v>
      </c>
      <c r="X64" s="146" t="s">
        <v>28</v>
      </c>
    </row>
    <row r="65" spans="1:24">
      <c r="A65" s="73" t="s">
        <v>169</v>
      </c>
      <c r="B65" s="74" t="s">
        <v>33</v>
      </c>
      <c r="C65" s="1" t="s">
        <v>164</v>
      </c>
      <c r="D65" s="1" t="s">
        <v>27</v>
      </c>
      <c r="E65" s="75">
        <v>1</v>
      </c>
      <c r="F65" s="51">
        <v>905</v>
      </c>
      <c r="G65" s="88">
        <f t="shared" si="8"/>
        <v>905</v>
      </c>
      <c r="I65" s="120" t="str">
        <f ca="1" t="shared" si="0"/>
        <v>12/25/2025</v>
      </c>
      <c r="K65" s="76" t="s">
        <v>28</v>
      </c>
      <c r="L65" s="1" t="s">
        <v>29</v>
      </c>
      <c r="M65" s="78">
        <v>1</v>
      </c>
      <c r="N65" s="142">
        <f t="shared" si="2"/>
        <v>905</v>
      </c>
      <c r="O65" s="79" t="s">
        <v>170</v>
      </c>
      <c r="U65" s="49">
        <f>F65</f>
        <v>905</v>
      </c>
      <c r="V65" s="49"/>
      <c r="W65" s="73"/>
      <c r="X65" s="146" t="s">
        <v>28</v>
      </c>
    </row>
    <row r="66" spans="1:24">
      <c r="A66" s="73" t="s">
        <v>171</v>
      </c>
      <c r="B66" s="74" t="s">
        <v>25</v>
      </c>
      <c r="C66" s="1" t="s">
        <v>146</v>
      </c>
      <c r="D66" s="1" t="s">
        <v>27</v>
      </c>
      <c r="E66" s="75">
        <v>1</v>
      </c>
      <c r="F66" s="51">
        <v>26500</v>
      </c>
      <c r="G66" s="88">
        <f t="shared" si="8"/>
        <v>26500</v>
      </c>
      <c r="I66" s="120" t="str">
        <f ca="1" t="shared" ref="I66:I129" si="9">TEXT(RANDBETWEEN(DATE(2025,1,1),DATE(2025,12,31)),"m/d/yyyy")</f>
        <v>1/29/2025</v>
      </c>
      <c r="K66" s="76" t="s">
        <v>28</v>
      </c>
      <c r="L66" s="1" t="s">
        <v>11</v>
      </c>
      <c r="M66" s="78">
        <v>2</v>
      </c>
      <c r="N66" s="142">
        <f t="shared" si="2"/>
        <v>13250</v>
      </c>
      <c r="O66" s="79" t="s">
        <v>172</v>
      </c>
      <c r="V66" s="49"/>
      <c r="W66" s="3" t="s">
        <v>173</v>
      </c>
      <c r="X66" s="146" t="s">
        <v>28</v>
      </c>
    </row>
    <row r="67" spans="1:24">
      <c r="A67" s="73" t="s">
        <v>174</v>
      </c>
      <c r="B67" s="74" t="s">
        <v>33</v>
      </c>
      <c r="C67" s="1" t="s">
        <v>41</v>
      </c>
      <c r="D67" s="1" t="s">
        <v>27</v>
      </c>
      <c r="E67" s="75">
        <v>1</v>
      </c>
      <c r="F67" s="51">
        <v>3200</v>
      </c>
      <c r="G67" s="88">
        <f t="shared" si="8"/>
        <v>3200</v>
      </c>
      <c r="I67" s="120" t="str">
        <f ca="1" t="shared" si="9"/>
        <v>2/7/2025</v>
      </c>
      <c r="K67" s="76" t="s">
        <v>28</v>
      </c>
      <c r="L67" s="1" t="s">
        <v>175</v>
      </c>
      <c r="M67" s="78">
        <v>10</v>
      </c>
      <c r="N67" s="142">
        <f t="shared" ref="N67:N112" si="10">F67/M67</f>
        <v>320</v>
      </c>
      <c r="O67" s="79" t="s">
        <v>176</v>
      </c>
      <c r="U67" s="49">
        <f>F67</f>
        <v>3200</v>
      </c>
      <c r="V67" s="49"/>
      <c r="X67" s="146" t="s">
        <v>28</v>
      </c>
    </row>
    <row r="68" ht="72" spans="1:24">
      <c r="A68" s="73" t="s">
        <v>177</v>
      </c>
      <c r="B68" s="74" t="s">
        <v>25</v>
      </c>
      <c r="C68" s="86" t="s">
        <v>131</v>
      </c>
      <c r="D68" s="86" t="s">
        <v>27</v>
      </c>
      <c r="E68" s="113">
        <v>1</v>
      </c>
      <c r="F68" s="87">
        <v>88000</v>
      </c>
      <c r="G68" s="88">
        <f>E68*F68</f>
        <v>88000</v>
      </c>
      <c r="H68" s="89"/>
      <c r="I68" s="120" t="str">
        <f ca="1" t="shared" si="9"/>
        <v>1/14/2025</v>
      </c>
      <c r="J68" s="89"/>
      <c r="K68" s="76" t="s">
        <v>28</v>
      </c>
      <c r="L68" s="88" t="s">
        <v>68</v>
      </c>
      <c r="M68" s="122">
        <v>1</v>
      </c>
      <c r="N68" s="109">
        <f t="shared" si="10"/>
        <v>88000</v>
      </c>
      <c r="O68" s="79" t="s">
        <v>178</v>
      </c>
      <c r="P68" s="92">
        <f>F68</f>
        <v>88000</v>
      </c>
      <c r="Q68" s="92"/>
      <c r="U68" s="88"/>
      <c r="V68" s="92"/>
      <c r="W68" s="3" t="s">
        <v>31</v>
      </c>
      <c r="X68" s="146" t="s">
        <v>28</v>
      </c>
    </row>
    <row r="69" spans="1:24">
      <c r="A69" s="73" t="s">
        <v>179</v>
      </c>
      <c r="B69" s="74" t="s">
        <v>25</v>
      </c>
      <c r="C69" s="86" t="s">
        <v>180</v>
      </c>
      <c r="D69" s="1" t="s">
        <v>27</v>
      </c>
      <c r="E69" s="151">
        <v>1</v>
      </c>
      <c r="F69" s="87">
        <v>500</v>
      </c>
      <c r="G69" s="88">
        <f>F69*E69</f>
        <v>500</v>
      </c>
      <c r="H69" s="101"/>
      <c r="I69" s="120" t="str">
        <f ca="1" t="shared" si="9"/>
        <v>3/10/2025</v>
      </c>
      <c r="J69" s="132"/>
      <c r="K69" s="76" t="s">
        <v>28</v>
      </c>
      <c r="L69" s="103" t="s">
        <v>59</v>
      </c>
      <c r="M69" s="133">
        <v>1</v>
      </c>
      <c r="N69" s="138">
        <f t="shared" si="10"/>
        <v>500</v>
      </c>
      <c r="O69" s="79" t="s">
        <v>181</v>
      </c>
      <c r="P69" s="135"/>
      <c r="Q69" s="135"/>
      <c r="R69" s="135"/>
      <c r="S69" s="135"/>
      <c r="T69" s="135"/>
      <c r="U69" s="103">
        <f>Table6[[#This Row],[Value (RM)]]</f>
        <v>500</v>
      </c>
      <c r="V69" s="135"/>
      <c r="W69" s="3" t="s">
        <v>31</v>
      </c>
      <c r="X69" s="146" t="s">
        <v>28</v>
      </c>
    </row>
    <row r="70" spans="1:24">
      <c r="A70" s="73" t="s">
        <v>182</v>
      </c>
      <c r="B70" s="74" t="s">
        <v>25</v>
      </c>
      <c r="C70" s="86" t="s">
        <v>131</v>
      </c>
      <c r="D70" s="86" t="s">
        <v>27</v>
      </c>
      <c r="E70" s="113">
        <v>1</v>
      </c>
      <c r="F70" s="87">
        <v>400000</v>
      </c>
      <c r="G70" s="88">
        <f>E70*F70</f>
        <v>400000</v>
      </c>
      <c r="H70" s="89"/>
      <c r="I70" s="120" t="str">
        <f ca="1" t="shared" si="9"/>
        <v>5/30/2025</v>
      </c>
      <c r="J70" s="89"/>
      <c r="K70" s="76" t="s">
        <v>28</v>
      </c>
      <c r="L70" s="88" t="s">
        <v>59</v>
      </c>
      <c r="M70" s="122">
        <v>1</v>
      </c>
      <c r="N70" s="109">
        <f t="shared" si="10"/>
        <v>400000</v>
      </c>
      <c r="O70" s="79" t="s">
        <v>183</v>
      </c>
      <c r="P70" s="92">
        <f>G70</f>
        <v>400000</v>
      </c>
      <c r="Q70" s="92"/>
      <c r="U70" s="88"/>
      <c r="V70" s="92"/>
      <c r="W70" s="3" t="s">
        <v>31</v>
      </c>
      <c r="X70" s="146" t="s">
        <v>28</v>
      </c>
    </row>
    <row r="71" spans="1:24">
      <c r="A71" s="73" t="s">
        <v>184</v>
      </c>
      <c r="B71" s="99" t="s">
        <v>33</v>
      </c>
      <c r="C71" s="86" t="s">
        <v>55</v>
      </c>
      <c r="D71" s="1" t="s">
        <v>67</v>
      </c>
      <c r="E71" s="75">
        <v>1</v>
      </c>
      <c r="F71" s="100">
        <v>120000</v>
      </c>
      <c r="G71" s="88">
        <f>F71*E71</f>
        <v>120000</v>
      </c>
      <c r="H71" s="101"/>
      <c r="I71" s="120" t="str">
        <f ca="1" t="shared" si="9"/>
        <v>5/17/2025</v>
      </c>
      <c r="J71" s="132"/>
      <c r="K71" s="76">
        <v>45921</v>
      </c>
      <c r="L71" s="103" t="s">
        <v>38</v>
      </c>
      <c r="M71" s="133">
        <f>260*2.4</f>
        <v>624</v>
      </c>
      <c r="N71" s="134">
        <f t="shared" si="10"/>
        <v>192.307692307692</v>
      </c>
      <c r="O71" s="79" t="s">
        <v>39</v>
      </c>
      <c r="P71" s="135">
        <f>Table6[[#This Row],[Value (RM)]]</f>
        <v>120000</v>
      </c>
      <c r="Q71" s="135"/>
      <c r="R71" s="135"/>
      <c r="S71" s="135"/>
      <c r="T71" s="135"/>
      <c r="U71" s="103"/>
      <c r="V71" s="135"/>
      <c r="W71" s="3" t="s">
        <v>31</v>
      </c>
      <c r="X71" s="146" t="s">
        <v>28</v>
      </c>
    </row>
    <row r="72" spans="1:24">
      <c r="A72" s="73" t="s">
        <v>185</v>
      </c>
      <c r="B72" s="74" t="s">
        <v>45</v>
      </c>
      <c r="C72" s="86" t="s">
        <v>46</v>
      </c>
      <c r="D72" s="1" t="s">
        <v>27</v>
      </c>
      <c r="E72" s="75">
        <v>1</v>
      </c>
      <c r="F72" s="87">
        <v>66000</v>
      </c>
      <c r="G72" s="88">
        <f>F72*E72</f>
        <v>66000</v>
      </c>
      <c r="H72" s="89"/>
      <c r="I72" s="120" t="str">
        <f ca="1" t="shared" si="9"/>
        <v>8/4/2025</v>
      </c>
      <c r="J72" s="130"/>
      <c r="K72" s="76" t="s">
        <v>28</v>
      </c>
      <c r="L72" s="88" t="s">
        <v>47</v>
      </c>
      <c r="M72" s="122">
        <v>32</v>
      </c>
      <c r="N72" s="91">
        <f t="shared" si="10"/>
        <v>2062.5</v>
      </c>
      <c r="O72" s="79" t="s">
        <v>186</v>
      </c>
      <c r="P72" s="135"/>
      <c r="Q72" s="135"/>
      <c r="R72" s="92"/>
      <c r="S72" s="92">
        <f>Table6[[#This Row],[Value (RM)]]</f>
        <v>66000</v>
      </c>
      <c r="T72" s="92"/>
      <c r="U72" s="88"/>
      <c r="V72" s="92"/>
      <c r="W72" s="3" t="s">
        <v>31</v>
      </c>
      <c r="X72" s="146" t="s">
        <v>28</v>
      </c>
    </row>
    <row r="73" spans="1:24">
      <c r="A73" s="73" t="s">
        <v>187</v>
      </c>
      <c r="B73" s="99" t="s">
        <v>33</v>
      </c>
      <c r="C73" s="86" t="s">
        <v>188</v>
      </c>
      <c r="D73" s="1" t="s">
        <v>67</v>
      </c>
      <c r="E73" s="113">
        <v>1</v>
      </c>
      <c r="F73" s="100">
        <v>37800</v>
      </c>
      <c r="G73" s="88">
        <f>F73*E73</f>
        <v>37800</v>
      </c>
      <c r="H73" s="101"/>
      <c r="I73" s="120" t="str">
        <f ca="1" t="shared" si="9"/>
        <v>9/14/2025</v>
      </c>
      <c r="J73" s="132">
        <v>12</v>
      </c>
      <c r="K73" s="76">
        <f ca="1">I73+J73+15</f>
        <v>45941</v>
      </c>
      <c r="L73" s="103" t="s">
        <v>189</v>
      </c>
      <c r="M73" s="133">
        <v>12</v>
      </c>
      <c r="N73" s="134">
        <f t="shared" si="10"/>
        <v>3150</v>
      </c>
      <c r="O73" s="79" t="s">
        <v>190</v>
      </c>
      <c r="P73" s="135"/>
      <c r="Q73" s="135"/>
      <c r="R73" s="135"/>
      <c r="S73" s="135"/>
      <c r="T73" s="135"/>
      <c r="U73" s="103">
        <f>Table6[[#This Row],[Value (RM)]]</f>
        <v>37800</v>
      </c>
      <c r="V73" s="135"/>
      <c r="W73" s="3" t="s">
        <v>31</v>
      </c>
      <c r="X73" s="146" t="s">
        <v>28</v>
      </c>
    </row>
    <row r="74" s="71" customFormat="1" ht="28.8" spans="1:24">
      <c r="A74" s="73" t="s">
        <v>191</v>
      </c>
      <c r="B74" s="74" t="s">
        <v>45</v>
      </c>
      <c r="C74" s="86" t="s">
        <v>192</v>
      </c>
      <c r="D74" s="86" t="s">
        <v>27</v>
      </c>
      <c r="E74" s="75">
        <v>0.95</v>
      </c>
      <c r="F74" s="87">
        <v>39000</v>
      </c>
      <c r="G74" s="92">
        <f>E74*F74</f>
        <v>37050</v>
      </c>
      <c r="H74" s="89"/>
      <c r="I74" s="120" t="str">
        <f ca="1" t="shared" si="9"/>
        <v>10/8/2025</v>
      </c>
      <c r="J74" s="89"/>
      <c r="K74" s="76" t="s">
        <v>28</v>
      </c>
      <c r="L74" s="88" t="s">
        <v>47</v>
      </c>
      <c r="M74" s="122">
        <v>16</v>
      </c>
      <c r="N74" s="109">
        <f t="shared" si="10"/>
        <v>2437.5</v>
      </c>
      <c r="O74" s="79" t="s">
        <v>193</v>
      </c>
      <c r="P74" s="92"/>
      <c r="Q74" s="92"/>
      <c r="R74" s="92">
        <v>39000</v>
      </c>
      <c r="S74" s="92"/>
      <c r="T74" s="92"/>
      <c r="U74" s="88"/>
      <c r="V74" s="92"/>
      <c r="W74" s="149" t="s">
        <v>43</v>
      </c>
      <c r="X74" s="146" t="s">
        <v>28</v>
      </c>
    </row>
    <row r="75" spans="1:24">
      <c r="A75" s="73" t="s">
        <v>194</v>
      </c>
      <c r="B75" s="74" t="s">
        <v>45</v>
      </c>
      <c r="C75" s="86" t="s">
        <v>192</v>
      </c>
      <c r="D75" s="86" t="s">
        <v>27</v>
      </c>
      <c r="E75" s="75">
        <v>0.95</v>
      </c>
      <c r="F75" s="87">
        <v>39999</v>
      </c>
      <c r="G75" s="92">
        <f>E75*F75</f>
        <v>37999.05</v>
      </c>
      <c r="H75" s="89"/>
      <c r="I75" s="120" t="str">
        <f ca="1" t="shared" si="9"/>
        <v>8/23/2025</v>
      </c>
      <c r="J75" s="89"/>
      <c r="K75" s="76" t="s">
        <v>28</v>
      </c>
      <c r="L75" s="88" t="s">
        <v>47</v>
      </c>
      <c r="M75" s="122">
        <v>2</v>
      </c>
      <c r="N75" s="109">
        <f t="shared" si="10"/>
        <v>19999.5</v>
      </c>
      <c r="O75" s="79" t="s">
        <v>195</v>
      </c>
      <c r="P75" s="92"/>
      <c r="Q75" s="92"/>
      <c r="R75" s="92">
        <v>39999</v>
      </c>
      <c r="S75" s="92"/>
      <c r="T75" s="92"/>
      <c r="U75" s="88"/>
      <c r="V75" s="92"/>
      <c r="W75" s="149" t="s">
        <v>43</v>
      </c>
      <c r="X75" s="146" t="s">
        <v>28</v>
      </c>
    </row>
    <row r="76" ht="28.8" spans="1:24">
      <c r="A76" s="149" t="s">
        <v>196</v>
      </c>
      <c r="B76" s="74" t="s">
        <v>33</v>
      </c>
      <c r="C76" s="152" t="s">
        <v>91</v>
      </c>
      <c r="D76" s="86" t="s">
        <v>27</v>
      </c>
      <c r="E76" s="153">
        <v>0.95</v>
      </c>
      <c r="F76" s="154">
        <v>2760000</v>
      </c>
      <c r="G76" s="88">
        <f>E76*F76</f>
        <v>2622000</v>
      </c>
      <c r="H76" s="89">
        <v>135680</v>
      </c>
      <c r="I76" s="120" t="str">
        <f ca="1" t="shared" si="9"/>
        <v>2/24/2025</v>
      </c>
      <c r="J76" s="89"/>
      <c r="K76" s="76" t="s">
        <v>28</v>
      </c>
      <c r="L76" s="88" t="s">
        <v>38</v>
      </c>
      <c r="M76" s="78">
        <v>1300</v>
      </c>
      <c r="N76" s="109">
        <f t="shared" si="10"/>
        <v>2123.07692307692</v>
      </c>
      <c r="O76" s="160" t="s">
        <v>39</v>
      </c>
      <c r="P76" s="3"/>
      <c r="Q76" s="3"/>
      <c r="R76" s="167">
        <f>F76</f>
        <v>2760000</v>
      </c>
      <c r="S76" s="167"/>
      <c r="T76" s="167"/>
      <c r="U76" s="140"/>
      <c r="V76" s="92"/>
      <c r="W76" s="149" t="s">
        <v>43</v>
      </c>
      <c r="X76" s="146" t="s">
        <v>28</v>
      </c>
    </row>
    <row r="77" ht="28.8" spans="1:24">
      <c r="A77" s="73" t="s">
        <v>197</v>
      </c>
      <c r="B77" s="74" t="s">
        <v>33</v>
      </c>
      <c r="C77" s="86" t="s">
        <v>91</v>
      </c>
      <c r="D77" s="86" t="s">
        <v>27</v>
      </c>
      <c r="E77" s="75">
        <v>0.95</v>
      </c>
      <c r="F77" s="87">
        <v>205000</v>
      </c>
      <c r="G77" s="88">
        <f>E77*F77</f>
        <v>194750</v>
      </c>
      <c r="H77" s="89"/>
      <c r="I77" s="120" t="str">
        <f ca="1" t="shared" si="9"/>
        <v>4/20/2025</v>
      </c>
      <c r="J77" s="89"/>
      <c r="K77" s="76" t="s">
        <v>28</v>
      </c>
      <c r="L77" s="88" t="s">
        <v>59</v>
      </c>
      <c r="M77" s="78">
        <v>1</v>
      </c>
      <c r="N77" s="109">
        <f t="shared" si="10"/>
        <v>205000</v>
      </c>
      <c r="O77" s="79" t="s">
        <v>198</v>
      </c>
      <c r="P77" s="92"/>
      <c r="Q77" s="92"/>
      <c r="R77" s="92"/>
      <c r="S77" s="92"/>
      <c r="T77" s="92"/>
      <c r="U77" s="145">
        <f>F77</f>
        <v>205000</v>
      </c>
      <c r="V77" s="92"/>
      <c r="W77" s="149" t="s">
        <v>43</v>
      </c>
      <c r="X77" s="146" t="s">
        <v>28</v>
      </c>
    </row>
    <row r="78" spans="1:24">
      <c r="A78" s="73" t="s">
        <v>199</v>
      </c>
      <c r="B78" s="74" t="s">
        <v>33</v>
      </c>
      <c r="C78" s="86" t="s">
        <v>97</v>
      </c>
      <c r="D78" s="86" t="s">
        <v>27</v>
      </c>
      <c r="E78" s="75">
        <v>0.95</v>
      </c>
      <c r="F78" s="87">
        <v>28500</v>
      </c>
      <c r="G78" s="88">
        <f>E78*F78</f>
        <v>27075</v>
      </c>
      <c r="H78" s="89"/>
      <c r="I78" s="120" t="str">
        <f ca="1" t="shared" si="9"/>
        <v>10/13/2025</v>
      </c>
      <c r="J78" s="89"/>
      <c r="K78" s="76" t="s">
        <v>28</v>
      </c>
      <c r="L78" s="88" t="s">
        <v>92</v>
      </c>
      <c r="M78" s="122">
        <v>1200</v>
      </c>
      <c r="N78" s="109">
        <f t="shared" si="10"/>
        <v>23.75</v>
      </c>
      <c r="O78" s="79" t="s">
        <v>30</v>
      </c>
      <c r="P78" s="92"/>
      <c r="Q78" s="92"/>
      <c r="R78" s="92"/>
      <c r="S78" s="92"/>
      <c r="T78" s="92"/>
      <c r="U78" s="145">
        <f>F78</f>
        <v>28500</v>
      </c>
      <c r="V78" s="92"/>
      <c r="W78" s="149" t="s">
        <v>43</v>
      </c>
      <c r="X78" s="146" t="s">
        <v>28</v>
      </c>
    </row>
    <row r="79" s="72" customFormat="1" ht="14.4" spans="1:24">
      <c r="A79" s="73" t="s">
        <v>200</v>
      </c>
      <c r="B79" s="99" t="s">
        <v>25</v>
      </c>
      <c r="C79" s="86" t="s">
        <v>201</v>
      </c>
      <c r="D79" s="1" t="s">
        <v>27</v>
      </c>
      <c r="E79" s="75">
        <v>1</v>
      </c>
      <c r="F79" s="87">
        <v>200000</v>
      </c>
      <c r="G79" s="88">
        <f>F79*E79</f>
        <v>200000</v>
      </c>
      <c r="H79" s="89">
        <f>2185+1440+247</f>
        <v>3872</v>
      </c>
      <c r="I79" s="120" t="str">
        <f ca="1" t="shared" si="9"/>
        <v>3/31/2025</v>
      </c>
      <c r="J79" s="89"/>
      <c r="K79" s="76" t="s">
        <v>28</v>
      </c>
      <c r="L79" s="88" t="s">
        <v>38</v>
      </c>
      <c r="M79" s="122">
        <f>15.2*6.4-4.9*1.36</f>
        <v>90.616</v>
      </c>
      <c r="N79" s="109">
        <f t="shared" si="10"/>
        <v>2207.11574114947</v>
      </c>
      <c r="O79" s="79" t="s">
        <v>202</v>
      </c>
      <c r="P79" s="92"/>
      <c r="Q79" s="92"/>
      <c r="R79" s="92"/>
      <c r="S79" s="92"/>
      <c r="T79" s="92"/>
      <c r="U79" s="145">
        <f>F79</f>
        <v>200000</v>
      </c>
      <c r="V79" s="92"/>
      <c r="W79" s="149" t="s">
        <v>43</v>
      </c>
      <c r="X79" s="146" t="s">
        <v>28</v>
      </c>
    </row>
    <row r="80" spans="1:24">
      <c r="A80" s="73" t="s">
        <v>203</v>
      </c>
      <c r="B80" s="99" t="s">
        <v>33</v>
      </c>
      <c r="C80" s="86" t="s">
        <v>146</v>
      </c>
      <c r="D80" s="1" t="s">
        <v>27</v>
      </c>
      <c r="E80" s="75">
        <v>1</v>
      </c>
      <c r="F80" s="100">
        <v>29200</v>
      </c>
      <c r="G80" s="103">
        <f>F80*E80</f>
        <v>29200</v>
      </c>
      <c r="H80" s="101"/>
      <c r="I80" s="120" t="str">
        <f ca="1" t="shared" si="9"/>
        <v>9/11/2025</v>
      </c>
      <c r="J80" s="132"/>
      <c r="K80" s="76" t="s">
        <v>28</v>
      </c>
      <c r="L80" s="103" t="s">
        <v>68</v>
      </c>
      <c r="M80" s="133">
        <v>2</v>
      </c>
      <c r="N80" s="134">
        <f t="shared" si="10"/>
        <v>14600</v>
      </c>
      <c r="O80" s="79" t="s">
        <v>204</v>
      </c>
      <c r="P80" s="135">
        <v>29200</v>
      </c>
      <c r="Q80" s="135"/>
      <c r="R80" s="135"/>
      <c r="S80" s="135"/>
      <c r="T80" s="135"/>
      <c r="U80" s="103"/>
      <c r="V80" s="135"/>
      <c r="W80" s="200" t="s">
        <v>61</v>
      </c>
      <c r="X80" s="146" t="s">
        <v>28</v>
      </c>
    </row>
    <row r="81" ht="100.8" spans="1:24">
      <c r="A81" s="73" t="s">
        <v>205</v>
      </c>
      <c r="B81" s="74" t="s">
        <v>33</v>
      </c>
      <c r="C81" s="86" t="s">
        <v>152</v>
      </c>
      <c r="D81" s="1" t="s">
        <v>27</v>
      </c>
      <c r="E81" s="75">
        <v>1</v>
      </c>
      <c r="F81" s="87">
        <f>128000/2</f>
        <v>64000</v>
      </c>
      <c r="G81" s="88">
        <f>E81*F81</f>
        <v>64000</v>
      </c>
      <c r="H81" s="89"/>
      <c r="I81" s="120" t="str">
        <f ca="1" t="shared" si="9"/>
        <v>1/8/2025</v>
      </c>
      <c r="J81" s="130">
        <v>30</v>
      </c>
      <c r="K81" s="132" t="s">
        <v>28</v>
      </c>
      <c r="L81" s="88" t="s">
        <v>59</v>
      </c>
      <c r="M81" s="122">
        <v>1</v>
      </c>
      <c r="N81" s="91">
        <f t="shared" si="10"/>
        <v>64000</v>
      </c>
      <c r="O81" s="79" t="s">
        <v>148</v>
      </c>
      <c r="P81" s="92"/>
      <c r="Q81" s="92"/>
      <c r="R81" s="92"/>
      <c r="S81" s="92"/>
      <c r="T81" s="92"/>
      <c r="U81" s="88">
        <f>F81</f>
        <v>64000</v>
      </c>
      <c r="V81" s="92"/>
      <c r="W81" s="201" t="s">
        <v>64</v>
      </c>
      <c r="X81" s="146" t="s">
        <v>28</v>
      </c>
    </row>
    <row r="82" spans="1:24">
      <c r="A82" s="73" t="s">
        <v>206</v>
      </c>
      <c r="B82" s="74" t="s">
        <v>33</v>
      </c>
      <c r="C82" s="86" t="s">
        <v>97</v>
      </c>
      <c r="D82" s="86" t="s">
        <v>27</v>
      </c>
      <c r="E82" s="75">
        <v>0.9</v>
      </c>
      <c r="F82" s="87">
        <v>17000</v>
      </c>
      <c r="G82" s="88">
        <f>E82*F82</f>
        <v>15300</v>
      </c>
      <c r="H82" s="89"/>
      <c r="I82" s="120" t="str">
        <f ca="1" t="shared" si="9"/>
        <v>5/1/2025</v>
      </c>
      <c r="J82" s="89"/>
      <c r="K82" s="132" t="s">
        <v>28</v>
      </c>
      <c r="L82" s="88" t="s">
        <v>92</v>
      </c>
      <c r="M82" s="122">
        <v>1200</v>
      </c>
      <c r="N82" s="109">
        <f t="shared" si="10"/>
        <v>14.1666666666667</v>
      </c>
      <c r="O82" s="79" t="s">
        <v>30</v>
      </c>
      <c r="P82" s="92"/>
      <c r="Q82" s="92"/>
      <c r="R82" s="92"/>
      <c r="S82" s="92"/>
      <c r="T82" s="92"/>
      <c r="U82" s="145">
        <f>F82</f>
        <v>17000</v>
      </c>
      <c r="V82" s="92"/>
      <c r="W82" s="149" t="s">
        <v>43</v>
      </c>
      <c r="X82" s="146" t="s">
        <v>28</v>
      </c>
    </row>
    <row r="83" spans="1:24">
      <c r="A83" s="73" t="s">
        <v>207</v>
      </c>
      <c r="B83" s="99" t="s">
        <v>33</v>
      </c>
      <c r="C83" s="86" t="s">
        <v>91</v>
      </c>
      <c r="D83" s="1" t="s">
        <v>27</v>
      </c>
      <c r="E83" s="75">
        <v>0.4</v>
      </c>
      <c r="F83" s="87">
        <v>20000</v>
      </c>
      <c r="G83" s="88">
        <f>F83*E83</f>
        <v>8000</v>
      </c>
      <c r="H83" s="89"/>
      <c r="I83" s="120" t="str">
        <f ca="1" t="shared" si="9"/>
        <v>12/7/2025</v>
      </c>
      <c r="J83" s="89"/>
      <c r="K83" s="132" t="s">
        <v>28</v>
      </c>
      <c r="L83" s="88" t="s">
        <v>59</v>
      </c>
      <c r="M83" s="78">
        <v>1</v>
      </c>
      <c r="N83" s="109">
        <f t="shared" si="10"/>
        <v>20000</v>
      </c>
      <c r="O83" s="79" t="s">
        <v>208</v>
      </c>
      <c r="P83" s="92"/>
      <c r="Q83" s="92"/>
      <c r="R83" s="92"/>
      <c r="S83" s="92"/>
      <c r="T83" s="92"/>
      <c r="U83" s="145">
        <f>F83</f>
        <v>20000</v>
      </c>
      <c r="V83" s="92"/>
      <c r="W83" s="149" t="s">
        <v>43</v>
      </c>
      <c r="X83" s="146" t="s">
        <v>28</v>
      </c>
    </row>
    <row r="84" spans="1:24">
      <c r="A84" s="73" t="s">
        <v>209</v>
      </c>
      <c r="B84" s="74" t="s">
        <v>33</v>
      </c>
      <c r="C84" s="86" t="s">
        <v>164</v>
      </c>
      <c r="D84" s="1" t="s">
        <v>27</v>
      </c>
      <c r="E84" s="75">
        <v>1</v>
      </c>
      <c r="F84" s="100">
        <v>22099</v>
      </c>
      <c r="G84" s="103">
        <f>F84*E84</f>
        <v>22099</v>
      </c>
      <c r="H84" s="155"/>
      <c r="I84" s="120" t="str">
        <f ca="1" t="shared" si="9"/>
        <v>1/12/2025</v>
      </c>
      <c r="J84" s="161"/>
      <c r="K84" s="132" t="s">
        <v>28</v>
      </c>
      <c r="L84" s="162" t="s">
        <v>59</v>
      </c>
      <c r="M84" s="133">
        <v>1</v>
      </c>
      <c r="N84" s="138">
        <f t="shared" si="10"/>
        <v>22099</v>
      </c>
      <c r="O84" s="79" t="s">
        <v>208</v>
      </c>
      <c r="P84" s="49"/>
      <c r="Q84" s="49"/>
      <c r="R84" s="135"/>
      <c r="S84" s="135"/>
      <c r="T84" s="135"/>
      <c r="U84" s="162">
        <f>Table6[[#This Row],[Value (RM)]]</f>
        <v>22099</v>
      </c>
      <c r="V84" s="49"/>
      <c r="W84" s="149" t="s">
        <v>43</v>
      </c>
      <c r="X84" s="146" t="s">
        <v>28</v>
      </c>
    </row>
    <row r="85" ht="28.8" spans="1:24">
      <c r="A85" s="73" t="s">
        <v>210</v>
      </c>
      <c r="B85" s="74" t="s">
        <v>33</v>
      </c>
      <c r="C85" s="86" t="s">
        <v>164</v>
      </c>
      <c r="D85" s="86" t="s">
        <v>27</v>
      </c>
      <c r="E85" s="75">
        <v>1</v>
      </c>
      <c r="F85" s="109">
        <v>510000</v>
      </c>
      <c r="G85" s="88">
        <f>E85*F85</f>
        <v>510000</v>
      </c>
      <c r="H85" s="89">
        <f>16500+44000+12100</f>
        <v>72600</v>
      </c>
      <c r="I85" s="120" t="str">
        <f ca="1" t="shared" si="9"/>
        <v>11/3/2025</v>
      </c>
      <c r="J85" s="163"/>
      <c r="K85" s="132" t="s">
        <v>28</v>
      </c>
      <c r="L85" s="88" t="s">
        <v>35</v>
      </c>
      <c r="M85" s="122">
        <v>285</v>
      </c>
      <c r="N85" s="109">
        <f t="shared" si="10"/>
        <v>1789.47368421053</v>
      </c>
      <c r="O85" s="79" t="s">
        <v>211</v>
      </c>
      <c r="P85" s="92"/>
      <c r="Q85" s="92"/>
      <c r="R85" s="92"/>
      <c r="S85" s="92"/>
      <c r="T85" s="92"/>
      <c r="U85" s="145">
        <f>F85</f>
        <v>510000</v>
      </c>
      <c r="V85" s="92"/>
      <c r="W85" s="149" t="s">
        <v>43</v>
      </c>
      <c r="X85" s="146" t="s">
        <v>28</v>
      </c>
    </row>
    <row r="86" ht="28.8" spans="1:24">
      <c r="A86" s="73" t="s">
        <v>212</v>
      </c>
      <c r="B86" s="74" t="s">
        <v>25</v>
      </c>
      <c r="C86" s="1" t="s">
        <v>131</v>
      </c>
      <c r="D86" s="1" t="s">
        <v>67</v>
      </c>
      <c r="E86" s="75">
        <v>1</v>
      </c>
      <c r="F86" s="51">
        <v>62384.62</v>
      </c>
      <c r="G86" s="88">
        <f>F86*E86</f>
        <v>62384.62</v>
      </c>
      <c r="I86" s="120" t="str">
        <f ca="1" t="shared" si="9"/>
        <v>6/17/2025</v>
      </c>
      <c r="J86" s="77">
        <v>60</v>
      </c>
      <c r="K86" s="76">
        <f ca="1">I86+J86+15</f>
        <v>45900</v>
      </c>
      <c r="L86" s="1" t="s">
        <v>29</v>
      </c>
      <c r="M86" s="78">
        <v>1</v>
      </c>
      <c r="N86" s="142">
        <f t="shared" si="10"/>
        <v>62384.62</v>
      </c>
      <c r="O86" s="79" t="s">
        <v>213</v>
      </c>
      <c r="P86" s="164">
        <f>F86</f>
        <v>62384.62</v>
      </c>
      <c r="Q86" s="164"/>
      <c r="V86" s="49"/>
      <c r="W86" s="149" t="s">
        <v>43</v>
      </c>
      <c r="X86" s="146" t="s">
        <v>28</v>
      </c>
    </row>
    <row r="87" spans="1:24">
      <c r="A87" s="73" t="s">
        <v>214</v>
      </c>
      <c r="B87" s="74" t="s">
        <v>25</v>
      </c>
      <c r="C87" s="86" t="s">
        <v>131</v>
      </c>
      <c r="D87" s="86" t="s">
        <v>67</v>
      </c>
      <c r="E87" s="113">
        <v>0.8</v>
      </c>
      <c r="F87" s="87">
        <v>1030000</v>
      </c>
      <c r="G87" s="88">
        <f>E87*F87</f>
        <v>824000</v>
      </c>
      <c r="H87" s="89"/>
      <c r="I87" s="120" t="str">
        <f ca="1" t="shared" si="9"/>
        <v>6/27/2025</v>
      </c>
      <c r="J87" s="89"/>
      <c r="K87" s="76">
        <f ca="1">I87+J87+15</f>
        <v>45850</v>
      </c>
      <c r="L87" s="88" t="s">
        <v>59</v>
      </c>
      <c r="M87" s="122">
        <v>1</v>
      </c>
      <c r="N87" s="109">
        <f t="shared" si="10"/>
        <v>1030000</v>
      </c>
      <c r="O87" s="79" t="s">
        <v>215</v>
      </c>
      <c r="P87" s="92">
        <f>F87</f>
        <v>1030000</v>
      </c>
      <c r="Q87" s="92"/>
      <c r="U87" s="88"/>
      <c r="V87" s="92"/>
      <c r="W87" s="149" t="s">
        <v>43</v>
      </c>
      <c r="X87" s="146" t="s">
        <v>28</v>
      </c>
    </row>
    <row r="88" spans="1:24">
      <c r="A88" s="73" t="s">
        <v>216</v>
      </c>
      <c r="B88" s="74" t="s">
        <v>33</v>
      </c>
      <c r="C88" s="86" t="s">
        <v>126</v>
      </c>
      <c r="D88" s="1" t="s">
        <v>67</v>
      </c>
      <c r="E88" s="75">
        <v>1</v>
      </c>
      <c r="F88" s="87">
        <v>133550</v>
      </c>
      <c r="G88" s="136">
        <f>E88*F88</f>
        <v>133550</v>
      </c>
      <c r="H88" s="89"/>
      <c r="I88" s="120" t="str">
        <f ca="1" t="shared" si="9"/>
        <v>10/31/2025</v>
      </c>
      <c r="J88" s="163"/>
      <c r="K88" s="76">
        <f ca="1">I88+J88+15</f>
        <v>45976</v>
      </c>
      <c r="L88" s="88" t="s">
        <v>38</v>
      </c>
      <c r="M88" s="165"/>
      <c r="N88" s="109" t="e">
        <f t="shared" si="10"/>
        <v>#DIV/0!</v>
      </c>
      <c r="O88" s="79" t="s">
        <v>56</v>
      </c>
      <c r="P88" s="92"/>
      <c r="Q88" s="92"/>
      <c r="R88" s="92"/>
      <c r="S88" s="92"/>
      <c r="T88" s="92"/>
      <c r="U88" s="145">
        <f>F88</f>
        <v>133550</v>
      </c>
      <c r="V88" s="92"/>
      <c r="W88" s="149" t="s">
        <v>43</v>
      </c>
      <c r="X88" s="146" t="s">
        <v>28</v>
      </c>
    </row>
    <row r="89" spans="1:24">
      <c r="A89" s="73" t="s">
        <v>217</v>
      </c>
      <c r="B89" s="74" t="s">
        <v>33</v>
      </c>
      <c r="C89" s="86" t="s">
        <v>129</v>
      </c>
      <c r="D89" s="107" t="s">
        <v>67</v>
      </c>
      <c r="E89" s="75">
        <v>1</v>
      </c>
      <c r="F89" s="156">
        <v>91450</v>
      </c>
      <c r="G89" s="88">
        <f>F89*E89</f>
        <v>91450</v>
      </c>
      <c r="H89" s="89"/>
      <c r="I89" s="120" t="str">
        <f ca="1" t="shared" si="9"/>
        <v>7/7/2025</v>
      </c>
      <c r="J89" s="163"/>
      <c r="K89" s="76">
        <f ca="1">I89+J89+15</f>
        <v>45860</v>
      </c>
      <c r="L89" s="88"/>
      <c r="M89" s="165"/>
      <c r="N89" s="109" t="e">
        <f t="shared" si="10"/>
        <v>#DIV/0!</v>
      </c>
      <c r="O89" s="79" t="s">
        <v>56</v>
      </c>
      <c r="P89" s="92"/>
      <c r="Q89" s="92"/>
      <c r="R89" s="92"/>
      <c r="S89" s="92"/>
      <c r="T89" s="92"/>
      <c r="U89" s="145">
        <f>F89</f>
        <v>91450</v>
      </c>
      <c r="V89" s="92"/>
      <c r="W89" s="149" t="s">
        <v>43</v>
      </c>
      <c r="X89" s="146" t="s">
        <v>28</v>
      </c>
    </row>
    <row r="90" spans="1:24">
      <c r="A90" s="73" t="s">
        <v>218</v>
      </c>
      <c r="B90" s="74" t="s">
        <v>25</v>
      </c>
      <c r="C90" s="86" t="s">
        <v>131</v>
      </c>
      <c r="D90" s="1" t="s">
        <v>27</v>
      </c>
      <c r="E90" s="75">
        <v>0.7</v>
      </c>
      <c r="F90" s="87">
        <f>342892*4.5</f>
        <v>1543014</v>
      </c>
      <c r="G90" s="88">
        <f>E90*F90</f>
        <v>1080109.8</v>
      </c>
      <c r="H90" s="89"/>
      <c r="I90" s="120" t="str">
        <f ca="1" t="shared" si="9"/>
        <v>7/18/2025</v>
      </c>
      <c r="J90" s="89"/>
      <c r="K90" s="76" t="s">
        <v>28</v>
      </c>
      <c r="L90" s="88" t="s">
        <v>219</v>
      </c>
      <c r="M90" s="122">
        <v>1200</v>
      </c>
      <c r="N90" s="109">
        <f t="shared" si="10"/>
        <v>1285.845</v>
      </c>
      <c r="O90" s="79" t="s">
        <v>220</v>
      </c>
      <c r="P90" s="92"/>
      <c r="Q90" s="92"/>
      <c r="R90" s="92">
        <f>F90</f>
        <v>1543014</v>
      </c>
      <c r="S90" s="92"/>
      <c r="T90" s="92"/>
      <c r="U90" s="88"/>
      <c r="V90" s="92"/>
      <c r="W90" s="149" t="s">
        <v>43</v>
      </c>
      <c r="X90" s="146" t="s">
        <v>28</v>
      </c>
    </row>
    <row r="91" spans="1:24">
      <c r="A91" s="73" t="s">
        <v>221</v>
      </c>
      <c r="B91" s="74" t="s">
        <v>50</v>
      </c>
      <c r="C91" s="86" t="s">
        <v>180</v>
      </c>
      <c r="D91" s="1" t="s">
        <v>27</v>
      </c>
      <c r="E91" s="75">
        <v>0.6</v>
      </c>
      <c r="F91" s="87">
        <v>28500</v>
      </c>
      <c r="G91" s="88">
        <f>E91*F91</f>
        <v>17100</v>
      </c>
      <c r="H91" s="89"/>
      <c r="I91" s="120" t="str">
        <f ca="1" t="shared" si="9"/>
        <v>9/1/2025</v>
      </c>
      <c r="J91" s="130"/>
      <c r="K91" s="76" t="s">
        <v>28</v>
      </c>
      <c r="L91" s="88" t="s">
        <v>59</v>
      </c>
      <c r="M91" s="122">
        <v>1</v>
      </c>
      <c r="N91" s="91">
        <f t="shared" si="10"/>
        <v>28500</v>
      </c>
      <c r="O91" s="79" t="s">
        <v>222</v>
      </c>
      <c r="P91" s="92"/>
      <c r="Q91" s="92"/>
      <c r="R91" s="92"/>
      <c r="S91" s="92"/>
      <c r="T91" s="92"/>
      <c r="U91" s="88">
        <f>F91</f>
        <v>28500</v>
      </c>
      <c r="V91" s="92"/>
      <c r="W91" s="149" t="s">
        <v>43</v>
      </c>
      <c r="X91" s="146" t="s">
        <v>28</v>
      </c>
    </row>
    <row r="92" spans="1:24">
      <c r="A92" s="73" t="s">
        <v>223</v>
      </c>
      <c r="B92" s="74" t="s">
        <v>33</v>
      </c>
      <c r="C92" s="1" t="s">
        <v>224</v>
      </c>
      <c r="D92" s="1" t="s">
        <v>27</v>
      </c>
      <c r="E92" s="75">
        <v>0.6</v>
      </c>
      <c r="F92" s="87">
        <v>55000</v>
      </c>
      <c r="G92" s="88">
        <f>F92*E92</f>
        <v>33000</v>
      </c>
      <c r="I92" s="120" t="str">
        <f ca="1" t="shared" si="9"/>
        <v>6/6/2025</v>
      </c>
      <c r="J92" s="3">
        <v>180</v>
      </c>
      <c r="K92" s="76" t="s">
        <v>28</v>
      </c>
      <c r="L92" s="1" t="s">
        <v>68</v>
      </c>
      <c r="M92" s="78">
        <v>30</v>
      </c>
      <c r="N92" s="109">
        <f t="shared" si="10"/>
        <v>1833.33333333333</v>
      </c>
      <c r="O92" s="79" t="s">
        <v>225</v>
      </c>
      <c r="P92" s="3"/>
      <c r="Q92" s="3"/>
      <c r="U92" s="168">
        <v>75000</v>
      </c>
      <c r="V92" s="49"/>
      <c r="W92" s="149" t="s">
        <v>43</v>
      </c>
      <c r="X92" s="146" t="s">
        <v>28</v>
      </c>
    </row>
    <row r="93" spans="1:24">
      <c r="A93" s="73" t="s">
        <v>226</v>
      </c>
      <c r="B93" s="99" t="s">
        <v>50</v>
      </c>
      <c r="C93" s="86" t="s">
        <v>51</v>
      </c>
      <c r="D93" s="1" t="s">
        <v>67</v>
      </c>
      <c r="E93" s="75">
        <v>0.95</v>
      </c>
      <c r="F93" s="87">
        <v>290000</v>
      </c>
      <c r="G93" s="88">
        <f>F93*E93</f>
        <v>275500</v>
      </c>
      <c r="H93" s="89"/>
      <c r="I93" s="120" t="str">
        <f ca="1" t="shared" si="9"/>
        <v>9/10/2025</v>
      </c>
      <c r="J93" s="89">
        <v>30</v>
      </c>
      <c r="K93" s="76">
        <f ca="1">Table6[[#This Row],[day]]+Table6[[#This Row],[CDS]]+15</f>
        <v>45955</v>
      </c>
      <c r="L93" s="88" t="s">
        <v>80</v>
      </c>
      <c r="M93" s="122">
        <v>30</v>
      </c>
      <c r="N93" s="109">
        <f t="shared" si="10"/>
        <v>9666.66666666667</v>
      </c>
      <c r="O93" s="79" t="s">
        <v>148</v>
      </c>
      <c r="P93" s="92"/>
      <c r="Q93" s="92"/>
      <c r="R93" s="92"/>
      <c r="S93" s="92"/>
      <c r="T93" s="92"/>
      <c r="U93" s="145">
        <f>Table6[[#This Row],[Value (RM)]]</f>
        <v>290000</v>
      </c>
      <c r="V93" s="92"/>
      <c r="W93" s="149" t="s">
        <v>43</v>
      </c>
      <c r="X93" s="146" t="s">
        <v>28</v>
      </c>
    </row>
    <row r="94" spans="1:24">
      <c r="A94" s="73" t="s">
        <v>227</v>
      </c>
      <c r="B94" s="74" t="s">
        <v>50</v>
      </c>
      <c r="C94" s="1" t="s">
        <v>180</v>
      </c>
      <c r="D94" s="1" t="s">
        <v>27</v>
      </c>
      <c r="E94" s="75">
        <v>0.5</v>
      </c>
      <c r="F94" s="51">
        <v>10000</v>
      </c>
      <c r="G94" s="88">
        <f>F94*E94</f>
        <v>5000</v>
      </c>
      <c r="I94" s="120" t="str">
        <f ca="1" t="shared" si="9"/>
        <v>12/20/2025</v>
      </c>
      <c r="K94" s="76" t="s">
        <v>28</v>
      </c>
      <c r="L94" s="1" t="s">
        <v>175</v>
      </c>
      <c r="M94" s="78">
        <v>100</v>
      </c>
      <c r="N94" s="142">
        <f t="shared" si="10"/>
        <v>100</v>
      </c>
      <c r="O94" s="79" t="s">
        <v>228</v>
      </c>
      <c r="U94" s="49">
        <f>F94</f>
        <v>10000</v>
      </c>
      <c r="V94" s="49"/>
      <c r="W94" s="149" t="s">
        <v>43</v>
      </c>
      <c r="X94" s="146" t="s">
        <v>28</v>
      </c>
    </row>
    <row r="95" ht="28.8" spans="1:24">
      <c r="A95" s="73" t="s">
        <v>205</v>
      </c>
      <c r="B95" s="74" t="s">
        <v>33</v>
      </c>
      <c r="C95" s="86" t="s">
        <v>88</v>
      </c>
      <c r="D95" s="1" t="s">
        <v>67</v>
      </c>
      <c r="E95" s="75">
        <v>0.6</v>
      </c>
      <c r="F95" s="87">
        <f>128000/2</f>
        <v>64000</v>
      </c>
      <c r="G95" s="88">
        <f t="shared" ref="G95:G101" si="11">E95*F95</f>
        <v>38400</v>
      </c>
      <c r="H95" s="89"/>
      <c r="I95" s="120" t="str">
        <f ca="1" t="shared" si="9"/>
        <v>12/4/2025</v>
      </c>
      <c r="J95" s="89">
        <v>30</v>
      </c>
      <c r="K95" s="76">
        <f ca="1">Table6[[#This Row],[CDS]]+Table6[[#This Row],[day]]+15</f>
        <v>46040</v>
      </c>
      <c r="L95" s="88" t="s">
        <v>59</v>
      </c>
      <c r="M95" s="78">
        <v>1</v>
      </c>
      <c r="N95" s="109">
        <f t="shared" si="10"/>
        <v>64000</v>
      </c>
      <c r="O95" s="79" t="s">
        <v>148</v>
      </c>
      <c r="P95" s="92"/>
      <c r="Q95" s="92"/>
      <c r="R95" s="92"/>
      <c r="S95" s="92"/>
      <c r="T95" s="92"/>
      <c r="U95" s="145">
        <f>F95</f>
        <v>64000</v>
      </c>
      <c r="V95" s="92"/>
      <c r="W95" s="73" t="s">
        <v>229</v>
      </c>
      <c r="X95" s="146" t="s">
        <v>28</v>
      </c>
    </row>
    <row r="96" ht="28.8" spans="1:24">
      <c r="A96" s="149" t="s">
        <v>230</v>
      </c>
      <c r="B96" s="74" t="s">
        <v>33</v>
      </c>
      <c r="C96" s="152" t="s">
        <v>55</v>
      </c>
      <c r="D96" s="86" t="s">
        <v>27</v>
      </c>
      <c r="E96" s="153">
        <v>0.45</v>
      </c>
      <c r="F96" s="154">
        <v>695000</v>
      </c>
      <c r="G96" s="140">
        <f t="shared" si="11"/>
        <v>312750</v>
      </c>
      <c r="H96" s="157"/>
      <c r="I96" s="120" t="str">
        <f ca="1" t="shared" si="9"/>
        <v>8/23/2025</v>
      </c>
      <c r="J96" s="130"/>
      <c r="K96" s="121" t="s">
        <v>28</v>
      </c>
      <c r="L96" s="140" t="s">
        <v>38</v>
      </c>
      <c r="M96" s="141">
        <v>356</v>
      </c>
      <c r="N96" s="166">
        <f t="shared" si="10"/>
        <v>1952.24719101124</v>
      </c>
      <c r="O96" s="160" t="s">
        <v>231</v>
      </c>
      <c r="P96" s="167"/>
      <c r="Q96" s="167"/>
      <c r="R96" s="167">
        <f>F96</f>
        <v>695000</v>
      </c>
      <c r="S96" s="167"/>
      <c r="T96" s="167"/>
      <c r="U96" s="140"/>
      <c r="V96" s="92"/>
      <c r="W96" s="73" t="s">
        <v>229</v>
      </c>
      <c r="X96" s="146" t="s">
        <v>28</v>
      </c>
    </row>
    <row r="97" ht="28.8" spans="1:24">
      <c r="A97" s="73" t="s">
        <v>232</v>
      </c>
      <c r="B97" s="74" t="s">
        <v>33</v>
      </c>
      <c r="C97" s="86" t="s">
        <v>122</v>
      </c>
      <c r="D97" s="1" t="s">
        <v>27</v>
      </c>
      <c r="E97" s="75">
        <v>0.7</v>
      </c>
      <c r="F97" s="87">
        <v>2520000</v>
      </c>
      <c r="G97" s="88">
        <f t="shared" si="11"/>
        <v>1764000</v>
      </c>
      <c r="H97" s="89"/>
      <c r="I97" s="120" t="str">
        <f ca="1" t="shared" si="9"/>
        <v>2/20/2025</v>
      </c>
      <c r="J97" s="89"/>
      <c r="K97" s="121" t="s">
        <v>28</v>
      </c>
      <c r="L97" s="88" t="s">
        <v>38</v>
      </c>
      <c r="M97" s="122">
        <f>14*120*3</f>
        <v>5040</v>
      </c>
      <c r="N97" s="109">
        <f t="shared" si="10"/>
        <v>500</v>
      </c>
      <c r="O97" s="79" t="s">
        <v>42</v>
      </c>
      <c r="P97" s="3"/>
      <c r="Q97" s="3"/>
      <c r="R97" s="135"/>
      <c r="S97" s="92"/>
      <c r="T97" s="92"/>
      <c r="U97" s="92">
        <f>F97</f>
        <v>2520000</v>
      </c>
      <c r="V97" s="92"/>
      <c r="W97" s="73" t="s">
        <v>229</v>
      </c>
      <c r="X97" s="146" t="s">
        <v>28</v>
      </c>
    </row>
    <row r="98" ht="28.8" spans="1:24">
      <c r="A98" s="73" t="s">
        <v>233</v>
      </c>
      <c r="B98" s="74" t="s">
        <v>33</v>
      </c>
      <c r="C98" s="86" t="s">
        <v>122</v>
      </c>
      <c r="D98" s="86" t="s">
        <v>27</v>
      </c>
      <c r="E98" s="75">
        <v>0.5</v>
      </c>
      <c r="F98" s="87">
        <v>129600</v>
      </c>
      <c r="G98" s="88">
        <f t="shared" si="11"/>
        <v>64800</v>
      </c>
      <c r="H98" s="89"/>
      <c r="I98" s="120" t="str">
        <f ca="1" t="shared" si="9"/>
        <v>3/31/2025</v>
      </c>
      <c r="J98" s="89"/>
      <c r="K98" s="121" t="s">
        <v>28</v>
      </c>
      <c r="L98" s="88" t="s">
        <v>59</v>
      </c>
      <c r="M98" s="122">
        <v>1</v>
      </c>
      <c r="N98" s="109">
        <f t="shared" si="10"/>
        <v>129600</v>
      </c>
      <c r="O98" s="79" t="s">
        <v>234</v>
      </c>
      <c r="P98" s="92"/>
      <c r="Q98" s="92"/>
      <c r="R98" s="92"/>
      <c r="S98" s="92"/>
      <c r="T98" s="92"/>
      <c r="U98" s="88">
        <f>Table6[[#This Row],[Value (RM)]]</f>
        <v>129600</v>
      </c>
      <c r="V98" s="92"/>
      <c r="W98" s="73" t="s">
        <v>229</v>
      </c>
      <c r="X98" s="146" t="s">
        <v>28</v>
      </c>
    </row>
    <row r="99" ht="28.8" spans="1:24">
      <c r="A99" s="73" t="s">
        <v>235</v>
      </c>
      <c r="B99" s="74" t="s">
        <v>25</v>
      </c>
      <c r="C99" s="86" t="s">
        <v>131</v>
      </c>
      <c r="D99" s="86" t="s">
        <v>27</v>
      </c>
      <c r="E99" s="113">
        <v>0.2</v>
      </c>
      <c r="F99" s="87">
        <v>118000</v>
      </c>
      <c r="G99" s="88">
        <f t="shared" si="11"/>
        <v>23600</v>
      </c>
      <c r="H99" s="89"/>
      <c r="I99" s="120" t="str">
        <f ca="1" t="shared" si="9"/>
        <v>8/18/2025</v>
      </c>
      <c r="J99" s="89"/>
      <c r="K99" s="121" t="s">
        <v>28</v>
      </c>
      <c r="L99" s="88" t="s">
        <v>59</v>
      </c>
      <c r="M99" s="122">
        <v>1</v>
      </c>
      <c r="N99" s="109">
        <f t="shared" si="10"/>
        <v>118000</v>
      </c>
      <c r="O99" s="79" t="s">
        <v>234</v>
      </c>
      <c r="P99" s="49"/>
      <c r="Q99" s="92">
        <f>F99</f>
        <v>118000</v>
      </c>
      <c r="U99" s="88"/>
      <c r="V99" s="92"/>
      <c r="W99" s="73" t="s">
        <v>229</v>
      </c>
      <c r="X99" s="146" t="s">
        <v>28</v>
      </c>
    </row>
    <row r="100" ht="28.8" spans="1:24">
      <c r="A100" s="114" t="s">
        <v>236</v>
      </c>
      <c r="B100" s="74" t="s">
        <v>25</v>
      </c>
      <c r="C100" s="86" t="s">
        <v>131</v>
      </c>
      <c r="D100" s="1" t="s">
        <v>27</v>
      </c>
      <c r="E100" s="113">
        <v>0.2</v>
      </c>
      <c r="F100" s="87">
        <v>62439</v>
      </c>
      <c r="G100" s="88">
        <f t="shared" si="11"/>
        <v>12487.8</v>
      </c>
      <c r="H100" s="89"/>
      <c r="I100" s="120" t="str">
        <f ca="1" t="shared" si="9"/>
        <v>11/27/2025</v>
      </c>
      <c r="J100" s="89"/>
      <c r="K100" s="121" t="s">
        <v>28</v>
      </c>
      <c r="L100" s="88" t="s">
        <v>59</v>
      </c>
      <c r="M100" s="122">
        <v>1</v>
      </c>
      <c r="N100" s="109">
        <f t="shared" si="10"/>
        <v>62439</v>
      </c>
      <c r="O100" s="79" t="s">
        <v>143</v>
      </c>
      <c r="P100" s="49"/>
      <c r="Q100" s="92">
        <f>F100</f>
        <v>62439</v>
      </c>
      <c r="R100" s="92"/>
      <c r="S100" s="92"/>
      <c r="T100" s="92"/>
      <c r="U100" s="88"/>
      <c r="V100" s="92"/>
      <c r="W100" s="73" t="s">
        <v>229</v>
      </c>
      <c r="X100" s="146" t="s">
        <v>28</v>
      </c>
    </row>
    <row r="101" ht="28.8" spans="1:24">
      <c r="A101" s="73" t="s">
        <v>237</v>
      </c>
      <c r="B101" s="74" t="s">
        <v>33</v>
      </c>
      <c r="C101" s="86" t="s">
        <v>152</v>
      </c>
      <c r="D101" s="86" t="s">
        <v>27</v>
      </c>
      <c r="E101" s="75">
        <v>0.5</v>
      </c>
      <c r="F101" s="87">
        <v>129600</v>
      </c>
      <c r="G101" s="88">
        <f t="shared" si="11"/>
        <v>64800</v>
      </c>
      <c r="H101" s="89"/>
      <c r="I101" s="120" t="str">
        <f ca="1" t="shared" si="9"/>
        <v>7/13/2025</v>
      </c>
      <c r="J101" s="89"/>
      <c r="K101" s="121" t="s">
        <v>28</v>
      </c>
      <c r="L101" s="88" t="s">
        <v>59</v>
      </c>
      <c r="M101" s="122">
        <v>1</v>
      </c>
      <c r="N101" s="109">
        <f t="shared" si="10"/>
        <v>129600</v>
      </c>
      <c r="O101" s="79" t="s">
        <v>234</v>
      </c>
      <c r="P101" s="49"/>
      <c r="Q101" s="92"/>
      <c r="R101" s="92"/>
      <c r="S101" s="92"/>
      <c r="T101" s="92"/>
      <c r="U101" s="145">
        <f>F101</f>
        <v>129600</v>
      </c>
      <c r="V101" s="92"/>
      <c r="W101" s="73" t="s">
        <v>229</v>
      </c>
      <c r="X101" s="146" t="s">
        <v>28</v>
      </c>
    </row>
    <row r="102" ht="28.8" spans="1:24">
      <c r="A102" s="114" t="s">
        <v>238</v>
      </c>
      <c r="B102" s="99" t="s">
        <v>50</v>
      </c>
      <c r="C102" s="86" t="s">
        <v>180</v>
      </c>
      <c r="D102" s="1" t="s">
        <v>27</v>
      </c>
      <c r="E102" s="75">
        <v>0.3</v>
      </c>
      <c r="F102" s="87">
        <v>66156.2</v>
      </c>
      <c r="G102" s="88">
        <f>F102*E102</f>
        <v>19846.86</v>
      </c>
      <c r="H102" s="89"/>
      <c r="I102" s="120" t="str">
        <f ca="1" t="shared" si="9"/>
        <v>1/12/2025</v>
      </c>
      <c r="J102" s="130"/>
      <c r="K102" s="121" t="s">
        <v>28</v>
      </c>
      <c r="L102" s="88" t="s">
        <v>38</v>
      </c>
      <c r="M102" s="122">
        <f>1*1.2</f>
        <v>1.2</v>
      </c>
      <c r="N102" s="91">
        <f t="shared" si="10"/>
        <v>55130.1666666667</v>
      </c>
      <c r="O102" s="79" t="s">
        <v>239</v>
      </c>
      <c r="P102" s="49"/>
      <c r="Q102" s="92"/>
      <c r="R102" s="92"/>
      <c r="S102" s="92"/>
      <c r="T102" s="92"/>
      <c r="U102" s="88">
        <f>F102</f>
        <v>66156.2</v>
      </c>
      <c r="V102" s="92"/>
      <c r="W102" s="73" t="s">
        <v>229</v>
      </c>
      <c r="X102" s="146" t="s">
        <v>28</v>
      </c>
    </row>
    <row r="103" ht="28.8" spans="1:24">
      <c r="A103" s="73" t="s">
        <v>240</v>
      </c>
      <c r="B103" s="74" t="s">
        <v>50</v>
      </c>
      <c r="C103" s="86" t="s">
        <v>180</v>
      </c>
      <c r="D103" s="1" t="s">
        <v>161</v>
      </c>
      <c r="E103" s="75">
        <v>0.2</v>
      </c>
      <c r="F103" s="87">
        <v>300000</v>
      </c>
      <c r="G103" s="88">
        <f>F103*E103</f>
        <v>60000</v>
      </c>
      <c r="H103" s="89"/>
      <c r="I103" s="120" t="str">
        <f ca="1" t="shared" si="9"/>
        <v>5/14/2025</v>
      </c>
      <c r="J103" s="130"/>
      <c r="K103" s="121" t="s">
        <v>28</v>
      </c>
      <c r="L103" s="88" t="s">
        <v>38</v>
      </c>
      <c r="M103" s="122">
        <v>4000</v>
      </c>
      <c r="N103" s="91">
        <f t="shared" si="10"/>
        <v>75</v>
      </c>
      <c r="O103" s="79" t="s">
        <v>241</v>
      </c>
      <c r="P103" s="49"/>
      <c r="Q103" s="92"/>
      <c r="R103" s="92"/>
      <c r="S103" s="92"/>
      <c r="T103" s="92"/>
      <c r="U103" s="88">
        <f>F103</f>
        <v>300000</v>
      </c>
      <c r="V103" s="92"/>
      <c r="W103" s="73" t="s">
        <v>229</v>
      </c>
      <c r="X103" s="146" t="s">
        <v>28</v>
      </c>
    </row>
    <row r="104" ht="28.8" spans="1:24">
      <c r="A104" s="73" t="s">
        <v>242</v>
      </c>
      <c r="B104" s="74" t="s">
        <v>25</v>
      </c>
      <c r="C104" s="86" t="s">
        <v>131</v>
      </c>
      <c r="D104" s="86" t="s">
        <v>27</v>
      </c>
      <c r="E104" s="113">
        <v>0.2</v>
      </c>
      <c r="F104" s="87">
        <v>135000</v>
      </c>
      <c r="G104" s="88">
        <f>E104*F104</f>
        <v>27000</v>
      </c>
      <c r="H104" s="89"/>
      <c r="I104" s="120" t="str">
        <f ca="1" t="shared" si="9"/>
        <v>7/11/2025</v>
      </c>
      <c r="J104" s="89"/>
      <c r="K104" s="121" t="s">
        <v>28</v>
      </c>
      <c r="L104" s="88" t="s">
        <v>59</v>
      </c>
      <c r="M104" s="122">
        <v>1</v>
      </c>
      <c r="N104" s="109">
        <f t="shared" si="10"/>
        <v>135000</v>
      </c>
      <c r="O104" s="79" t="s">
        <v>234</v>
      </c>
      <c r="P104" s="49"/>
      <c r="Q104" s="92">
        <f>F104</f>
        <v>135000</v>
      </c>
      <c r="U104" s="88"/>
      <c r="V104" s="92"/>
      <c r="W104" s="73" t="s">
        <v>229</v>
      </c>
      <c r="X104" s="146" t="s">
        <v>28</v>
      </c>
    </row>
    <row r="105" ht="28.8" spans="1:24">
      <c r="A105" s="73" t="s">
        <v>243</v>
      </c>
      <c r="B105" s="74" t="s">
        <v>25</v>
      </c>
      <c r="C105" s="86" t="s">
        <v>131</v>
      </c>
      <c r="D105" s="1" t="s">
        <v>27</v>
      </c>
      <c r="E105" s="151">
        <v>0.2</v>
      </c>
      <c r="F105" s="87">
        <v>320000</v>
      </c>
      <c r="G105" s="88">
        <f>F105*E105</f>
        <v>64000</v>
      </c>
      <c r="H105" s="101">
        <v>0</v>
      </c>
      <c r="I105" s="120" t="str">
        <f ca="1" t="shared" si="9"/>
        <v>3/4/2025</v>
      </c>
      <c r="J105" s="132"/>
      <c r="K105" s="121" t="s">
        <v>28</v>
      </c>
      <c r="L105" s="103" t="s">
        <v>244</v>
      </c>
      <c r="M105" s="133">
        <v>20</v>
      </c>
      <c r="N105" s="138">
        <f t="shared" si="10"/>
        <v>16000</v>
      </c>
      <c r="O105" s="79" t="s">
        <v>245</v>
      </c>
      <c r="P105" s="135"/>
      <c r="Q105" s="135"/>
      <c r="R105" s="135">
        <f>F105</f>
        <v>320000</v>
      </c>
      <c r="S105" s="135"/>
      <c r="T105" s="135"/>
      <c r="U105" s="103"/>
      <c r="V105" s="135"/>
      <c r="W105" s="73" t="s">
        <v>229</v>
      </c>
      <c r="X105" s="146" t="s">
        <v>28</v>
      </c>
    </row>
    <row r="106" ht="28.8" spans="1:24">
      <c r="A106" s="73" t="s">
        <v>246</v>
      </c>
      <c r="B106" s="74" t="s">
        <v>45</v>
      </c>
      <c r="C106" s="86" t="s">
        <v>102</v>
      </c>
      <c r="D106" s="1" t="s">
        <v>27</v>
      </c>
      <c r="E106" s="75">
        <v>0.1</v>
      </c>
      <c r="F106" s="87">
        <v>104000</v>
      </c>
      <c r="G106" s="88">
        <f>F106*E106</f>
        <v>10400</v>
      </c>
      <c r="H106" s="89"/>
      <c r="I106" s="120" t="str">
        <f ca="1" t="shared" si="9"/>
        <v>11/1/2025</v>
      </c>
      <c r="J106" s="130"/>
      <c r="K106" s="121" t="s">
        <v>28</v>
      </c>
      <c r="L106" s="88" t="s">
        <v>47</v>
      </c>
      <c r="M106" s="122">
        <v>48</v>
      </c>
      <c r="N106" s="91">
        <f t="shared" si="10"/>
        <v>2166.66666666667</v>
      </c>
      <c r="O106" s="79" t="s">
        <v>186</v>
      </c>
      <c r="P106" s="135"/>
      <c r="Q106" s="135"/>
      <c r="R106" s="135"/>
      <c r="S106" s="92">
        <f>Table6[[#This Row],[Value (RM)]]</f>
        <v>104000</v>
      </c>
      <c r="T106" s="135"/>
      <c r="U106" s="88"/>
      <c r="V106" s="92"/>
      <c r="W106" s="73" t="s">
        <v>229</v>
      </c>
      <c r="X106" s="146" t="s">
        <v>28</v>
      </c>
    </row>
    <row r="107" ht="28.8" spans="1:24">
      <c r="A107" s="73" t="s">
        <v>247</v>
      </c>
      <c r="B107" s="74" t="s">
        <v>45</v>
      </c>
      <c r="C107" s="86" t="s">
        <v>102</v>
      </c>
      <c r="D107" s="1" t="s">
        <v>27</v>
      </c>
      <c r="E107" s="75">
        <v>0.25</v>
      </c>
      <c r="F107" s="87">
        <v>1800000</v>
      </c>
      <c r="G107" s="88">
        <f>E107*F107</f>
        <v>450000</v>
      </c>
      <c r="H107" s="89"/>
      <c r="I107" s="120" t="str">
        <f ca="1" t="shared" si="9"/>
        <v>10/10/2025</v>
      </c>
      <c r="J107" s="89"/>
      <c r="K107" s="121" t="s">
        <v>28</v>
      </c>
      <c r="L107" s="88" t="s">
        <v>248</v>
      </c>
      <c r="M107" s="122">
        <v>3600</v>
      </c>
      <c r="N107" s="109">
        <f t="shared" si="10"/>
        <v>500</v>
      </c>
      <c r="O107" s="79" t="s">
        <v>249</v>
      </c>
      <c r="P107" s="92"/>
      <c r="Q107" s="92"/>
      <c r="R107" s="92">
        <f>F107</f>
        <v>1800000</v>
      </c>
      <c r="S107" s="92"/>
      <c r="T107" s="92"/>
      <c r="U107" s="88"/>
      <c r="V107" s="92"/>
      <c r="W107" s="73" t="s">
        <v>229</v>
      </c>
      <c r="X107" s="146" t="s">
        <v>28</v>
      </c>
    </row>
    <row r="108" ht="28.8" spans="1:24">
      <c r="A108" s="73" t="s">
        <v>250</v>
      </c>
      <c r="B108" s="74" t="s">
        <v>33</v>
      </c>
      <c r="C108" s="86" t="s">
        <v>126</v>
      </c>
      <c r="D108" s="1" t="s">
        <v>161</v>
      </c>
      <c r="E108" s="151">
        <v>0.3</v>
      </c>
      <c r="F108" s="87">
        <v>127000</v>
      </c>
      <c r="G108" s="88">
        <f t="shared" ref="G108:G113" si="12">F108*E108</f>
        <v>38100</v>
      </c>
      <c r="H108" s="101"/>
      <c r="I108" s="120" t="str">
        <f ca="1" t="shared" si="9"/>
        <v>8/6/2025</v>
      </c>
      <c r="J108" s="132"/>
      <c r="K108" s="121" t="s">
        <v>28</v>
      </c>
      <c r="L108" s="103" t="s">
        <v>38</v>
      </c>
      <c r="M108" s="133">
        <f>8*12.5</f>
        <v>100</v>
      </c>
      <c r="N108" s="138">
        <f t="shared" si="10"/>
        <v>1270</v>
      </c>
      <c r="O108" s="79" t="s">
        <v>251</v>
      </c>
      <c r="P108" s="135"/>
      <c r="Q108" s="135"/>
      <c r="R108" s="135"/>
      <c r="S108" s="135"/>
      <c r="T108" s="135"/>
      <c r="U108" s="103">
        <f>Table6[[#This Row],[Value (RM)]]</f>
        <v>127000</v>
      </c>
      <c r="V108" s="135"/>
      <c r="W108" s="73" t="s">
        <v>229</v>
      </c>
      <c r="X108" s="146" t="s">
        <v>28</v>
      </c>
    </row>
    <row r="109" ht="28.8" spans="1:24">
      <c r="A109" s="73" t="s">
        <v>252</v>
      </c>
      <c r="B109" s="74" t="s">
        <v>33</v>
      </c>
      <c r="C109" s="1" t="s">
        <v>91</v>
      </c>
      <c r="D109" s="1" t="s">
        <v>67</v>
      </c>
      <c r="E109" s="75">
        <v>0.75</v>
      </c>
      <c r="F109" s="51">
        <v>1700000</v>
      </c>
      <c r="G109" s="158">
        <f t="shared" si="12"/>
        <v>1275000</v>
      </c>
      <c r="I109" s="120" t="str">
        <f ca="1" t="shared" si="9"/>
        <v>3/24/2025</v>
      </c>
      <c r="J109" s="77">
        <v>75</v>
      </c>
      <c r="K109" s="76">
        <f ca="1">Table6[[#This Row],[CDS]]+Table6[[#This Row],[day]]+15</f>
        <v>45830</v>
      </c>
      <c r="L109" s="1" t="s">
        <v>38</v>
      </c>
      <c r="M109" s="78">
        <v>1300</v>
      </c>
      <c r="N109" s="142">
        <f t="shared" si="10"/>
        <v>1307.69230769231</v>
      </c>
      <c r="O109" s="79" t="s">
        <v>253</v>
      </c>
      <c r="S109" s="5">
        <f>F109</f>
        <v>1700000</v>
      </c>
      <c r="U109" s="49"/>
      <c r="V109" s="49"/>
      <c r="W109" s="73" t="s">
        <v>229</v>
      </c>
      <c r="X109" s="146" t="s">
        <v>28</v>
      </c>
    </row>
    <row r="110" ht="28.8" spans="1:24">
      <c r="A110" s="73" t="s">
        <v>254</v>
      </c>
      <c r="B110" s="74" t="s">
        <v>33</v>
      </c>
      <c r="C110" s="86" t="s">
        <v>160</v>
      </c>
      <c r="D110" s="1" t="s">
        <v>161</v>
      </c>
      <c r="E110" s="113">
        <v>0.05</v>
      </c>
      <c r="F110" s="87">
        <v>20000</v>
      </c>
      <c r="G110" s="88">
        <f t="shared" si="12"/>
        <v>1000</v>
      </c>
      <c r="H110" s="89"/>
      <c r="I110" s="120" t="str">
        <f ca="1" t="shared" si="9"/>
        <v>10/17/2025</v>
      </c>
      <c r="J110" s="89"/>
      <c r="K110" s="76" t="s">
        <v>28</v>
      </c>
      <c r="L110" s="88" t="s">
        <v>92</v>
      </c>
      <c r="M110" s="122">
        <v>1800</v>
      </c>
      <c r="N110" s="109">
        <f t="shared" si="10"/>
        <v>11.1111111111111</v>
      </c>
      <c r="O110" s="79" t="s">
        <v>255</v>
      </c>
      <c r="P110" s="92"/>
      <c r="Q110" s="92"/>
      <c r="R110" s="92"/>
      <c r="S110" s="92"/>
      <c r="T110" s="92"/>
      <c r="U110" s="145">
        <f>F110</f>
        <v>20000</v>
      </c>
      <c r="V110" s="92"/>
      <c r="W110" s="73" t="s">
        <v>229</v>
      </c>
      <c r="X110" s="146" t="s">
        <v>28</v>
      </c>
    </row>
    <row r="111" ht="28.8" spans="1:24">
      <c r="A111" s="73" t="s">
        <v>256</v>
      </c>
      <c r="B111" s="99" t="s">
        <v>33</v>
      </c>
      <c r="C111" s="86" t="s">
        <v>55</v>
      </c>
      <c r="D111" s="1" t="s">
        <v>67</v>
      </c>
      <c r="E111" s="75">
        <v>0.05</v>
      </c>
      <c r="F111" s="100">
        <v>13285</v>
      </c>
      <c r="G111" s="103">
        <f t="shared" si="12"/>
        <v>664.25</v>
      </c>
      <c r="H111" s="101"/>
      <c r="I111" s="120" t="str">
        <f ca="1" t="shared" si="9"/>
        <v>1/3/2025</v>
      </c>
      <c r="J111" s="132">
        <v>30</v>
      </c>
      <c r="K111" s="76">
        <f ca="1">I111+J111+15</f>
        <v>45705</v>
      </c>
      <c r="L111" s="103" t="s">
        <v>38</v>
      </c>
      <c r="M111" s="133">
        <f>1.5*12</f>
        <v>18</v>
      </c>
      <c r="N111" s="134">
        <f t="shared" si="10"/>
        <v>738.055555555556</v>
      </c>
      <c r="O111" s="79" t="s">
        <v>257</v>
      </c>
      <c r="P111" s="135">
        <f>F111</f>
        <v>13285</v>
      </c>
      <c r="Q111" s="135"/>
      <c r="R111" s="135"/>
      <c r="S111" s="135"/>
      <c r="T111" s="135"/>
      <c r="U111" s="103"/>
      <c r="V111" s="135"/>
      <c r="W111" s="73" t="s">
        <v>229</v>
      </c>
      <c r="X111" s="146" t="s">
        <v>28</v>
      </c>
    </row>
    <row r="112" ht="28.8" spans="1:24">
      <c r="A112" s="159" t="s">
        <v>258</v>
      </c>
      <c r="B112" s="99" t="s">
        <v>33</v>
      </c>
      <c r="C112" s="86" t="s">
        <v>55</v>
      </c>
      <c r="D112" s="1" t="s">
        <v>67</v>
      </c>
      <c r="E112" s="75">
        <v>0.05</v>
      </c>
      <c r="F112" s="100">
        <v>4700</v>
      </c>
      <c r="G112" s="103">
        <f t="shared" si="12"/>
        <v>235</v>
      </c>
      <c r="H112" s="101"/>
      <c r="I112" s="120" t="str">
        <f ca="1" t="shared" si="9"/>
        <v>12/21/2025</v>
      </c>
      <c r="J112" s="132">
        <v>30</v>
      </c>
      <c r="K112" s="76">
        <f ca="1">I112+J112+15</f>
        <v>46057</v>
      </c>
      <c r="L112" s="103" t="s">
        <v>38</v>
      </c>
      <c r="M112" s="133">
        <v>39</v>
      </c>
      <c r="N112" s="134">
        <f t="shared" si="10"/>
        <v>120.512820512821</v>
      </c>
      <c r="O112" s="79" t="s">
        <v>259</v>
      </c>
      <c r="P112" s="135">
        <f>F112</f>
        <v>4700</v>
      </c>
      <c r="Q112" s="135"/>
      <c r="R112" s="135"/>
      <c r="S112" s="135"/>
      <c r="T112" s="135"/>
      <c r="U112" s="103"/>
      <c r="V112" s="135"/>
      <c r="W112" s="73" t="s">
        <v>229</v>
      </c>
      <c r="X112" s="146" t="s">
        <v>28</v>
      </c>
    </row>
    <row r="113" ht="28.8" spans="1:24">
      <c r="A113" s="73" t="s">
        <v>232</v>
      </c>
      <c r="B113" s="74" t="s">
        <v>33</v>
      </c>
      <c r="C113" s="86" t="s">
        <v>122</v>
      </c>
      <c r="D113" s="1" t="s">
        <v>27</v>
      </c>
      <c r="E113" s="75">
        <v>0.02</v>
      </c>
      <c r="F113" s="87"/>
      <c r="G113" s="88">
        <f t="shared" si="12"/>
        <v>0</v>
      </c>
      <c r="H113" s="89"/>
      <c r="I113" s="120" t="str">
        <f ca="1" t="shared" si="9"/>
        <v>7/4/2025</v>
      </c>
      <c r="J113" s="130"/>
      <c r="K113" s="132" t="s">
        <v>28</v>
      </c>
      <c r="L113" s="103" t="s">
        <v>38</v>
      </c>
      <c r="M113" s="133">
        <v>40</v>
      </c>
      <c r="N113" s="134">
        <f>F113/M114</f>
        <v>0</v>
      </c>
      <c r="O113" s="79" t="s">
        <v>260</v>
      </c>
      <c r="P113" s="135"/>
      <c r="Q113" s="135"/>
      <c r="R113" s="135"/>
      <c r="S113" s="92"/>
      <c r="T113" s="92"/>
      <c r="U113" s="88"/>
      <c r="V113" s="92"/>
      <c r="W113" s="73" t="s">
        <v>229</v>
      </c>
      <c r="X113" s="146" t="s">
        <v>28</v>
      </c>
    </row>
    <row r="114" ht="28.8" spans="1:24">
      <c r="A114" s="73" t="s">
        <v>261</v>
      </c>
      <c r="B114" s="74" t="s">
        <v>33</v>
      </c>
      <c r="C114" s="86" t="s">
        <v>91</v>
      </c>
      <c r="D114" s="86" t="s">
        <v>27</v>
      </c>
      <c r="E114" s="75">
        <v>0.05</v>
      </c>
      <c r="F114" s="87">
        <v>456000</v>
      </c>
      <c r="G114" s="88">
        <f>E114*F114</f>
        <v>22800</v>
      </c>
      <c r="H114" s="89"/>
      <c r="I114" s="120" t="str">
        <f ca="1" t="shared" si="9"/>
        <v>10/26/2025</v>
      </c>
      <c r="J114" s="89"/>
      <c r="K114" s="76" t="s">
        <v>28</v>
      </c>
      <c r="L114" s="88" t="s">
        <v>35</v>
      </c>
      <c r="M114" s="78">
        <v>250</v>
      </c>
      <c r="N114" s="91">
        <f t="shared" ref="N114:N166" si="13">F114/M114</f>
        <v>1824</v>
      </c>
      <c r="O114" s="79" t="s">
        <v>211</v>
      </c>
      <c r="P114" s="92"/>
      <c r="Q114" s="92"/>
      <c r="R114" s="92"/>
      <c r="S114" s="92"/>
      <c r="T114" s="92"/>
      <c r="U114" s="145">
        <f>F114</f>
        <v>456000</v>
      </c>
      <c r="V114" s="92"/>
      <c r="W114" s="73" t="s">
        <v>229</v>
      </c>
      <c r="X114" s="146" t="s">
        <v>28</v>
      </c>
    </row>
    <row r="115" ht="28.8" spans="1:24">
      <c r="A115" s="73" t="s">
        <v>262</v>
      </c>
      <c r="B115" s="74" t="s">
        <v>33</v>
      </c>
      <c r="C115" s="86" t="s">
        <v>55</v>
      </c>
      <c r="D115" s="1" t="s">
        <v>67</v>
      </c>
      <c r="E115" s="151">
        <v>0.15</v>
      </c>
      <c r="F115" s="87">
        <v>275000</v>
      </c>
      <c r="G115" s="88">
        <f t="shared" ref="G115:G141" si="14">F115*E115</f>
        <v>41250</v>
      </c>
      <c r="H115" s="101"/>
      <c r="I115" s="120" t="str">
        <f ca="1" t="shared" si="9"/>
        <v>3/29/2025</v>
      </c>
      <c r="J115" s="132">
        <f>4*30</f>
        <v>120</v>
      </c>
      <c r="K115" s="76">
        <f ca="1">Table6[[#This Row],[CDS]]+Table6[[#This Row],[day]]+15</f>
        <v>45880</v>
      </c>
      <c r="L115" s="103" t="s">
        <v>263</v>
      </c>
      <c r="M115" s="133">
        <v>100</v>
      </c>
      <c r="N115" s="138">
        <f t="shared" si="13"/>
        <v>2750</v>
      </c>
      <c r="O115" s="79" t="s">
        <v>264</v>
      </c>
      <c r="P115" s="135"/>
      <c r="Q115" s="135"/>
      <c r="R115" s="135"/>
      <c r="S115" s="135"/>
      <c r="T115" s="135"/>
      <c r="U115" s="103">
        <f>Table6[[#This Row],[Value (RM)]]</f>
        <v>275000</v>
      </c>
      <c r="V115" s="135"/>
      <c r="W115" s="73" t="s">
        <v>229</v>
      </c>
      <c r="X115" s="146" t="s">
        <v>28</v>
      </c>
    </row>
    <row r="116" ht="28.8" spans="1:24">
      <c r="A116" s="73" t="s">
        <v>265</v>
      </c>
      <c r="B116" s="99" t="s">
        <v>50</v>
      </c>
      <c r="C116" s="86" t="s">
        <v>51</v>
      </c>
      <c r="D116" s="1" t="s">
        <v>67</v>
      </c>
      <c r="E116" s="75">
        <v>0.02</v>
      </c>
      <c r="F116" s="100">
        <v>1190000</v>
      </c>
      <c r="G116" s="88">
        <f t="shared" si="14"/>
        <v>23800</v>
      </c>
      <c r="H116" s="101"/>
      <c r="I116" s="120" t="str">
        <f ca="1" t="shared" si="9"/>
        <v>7/19/2025</v>
      </c>
      <c r="J116" s="132">
        <f>3.5*30</f>
        <v>105</v>
      </c>
      <c r="K116" s="76">
        <f ca="1">Table6[[#This Row],[CDS]]+Table6[[#This Row],[day]]+15</f>
        <v>45977</v>
      </c>
      <c r="L116" s="103" t="s">
        <v>52</v>
      </c>
      <c r="M116" s="133">
        <v>12000</v>
      </c>
      <c r="N116" s="109">
        <f t="shared" si="13"/>
        <v>99.1666666666667</v>
      </c>
      <c r="O116" s="79" t="s">
        <v>266</v>
      </c>
      <c r="P116" s="135"/>
      <c r="Q116" s="135"/>
      <c r="R116" s="135">
        <f>Table6[[#This Row],[Value (RM)]]</f>
        <v>1190000</v>
      </c>
      <c r="S116" s="135"/>
      <c r="T116" s="135"/>
      <c r="U116" s="103"/>
      <c r="V116" s="135"/>
      <c r="W116" s="73" t="s">
        <v>229</v>
      </c>
      <c r="X116" s="146" t="s">
        <v>28</v>
      </c>
    </row>
    <row r="117" ht="43.2" spans="1:24">
      <c r="A117" s="73" t="s">
        <v>267</v>
      </c>
      <c r="B117" s="99" t="s">
        <v>33</v>
      </c>
      <c r="C117" s="86" t="s">
        <v>55</v>
      </c>
      <c r="D117" s="1" t="s">
        <v>67</v>
      </c>
      <c r="E117" s="75">
        <v>0.1</v>
      </c>
      <c r="F117" s="87">
        <v>129500</v>
      </c>
      <c r="G117" s="88">
        <f t="shared" si="14"/>
        <v>12950</v>
      </c>
      <c r="H117" s="89"/>
      <c r="I117" s="120" t="str">
        <f ca="1" t="shared" si="9"/>
        <v>4/26/2025</v>
      </c>
      <c r="J117" s="130">
        <v>60</v>
      </c>
      <c r="K117" s="76">
        <f ca="1">Table6[[#This Row],[CDS]]+Table6[[#This Row],[day]]+15</f>
        <v>45848</v>
      </c>
      <c r="L117" s="88" t="s">
        <v>59</v>
      </c>
      <c r="M117" s="122">
        <v>1</v>
      </c>
      <c r="N117" s="109">
        <f t="shared" si="13"/>
        <v>129500</v>
      </c>
      <c r="O117" s="79" t="s">
        <v>211</v>
      </c>
      <c r="P117" s="92"/>
      <c r="Q117" s="92"/>
      <c r="R117" s="92"/>
      <c r="S117" s="92"/>
      <c r="T117" s="92"/>
      <c r="U117" s="145">
        <f>F117</f>
        <v>129500</v>
      </c>
      <c r="V117" s="92"/>
      <c r="W117" s="73" t="s">
        <v>229</v>
      </c>
      <c r="X117" s="146" t="s">
        <v>28</v>
      </c>
    </row>
    <row r="118" ht="28.8" spans="1:24">
      <c r="A118" s="73" t="s">
        <v>268</v>
      </c>
      <c r="B118" s="99" t="s">
        <v>50</v>
      </c>
      <c r="C118" s="86" t="s">
        <v>180</v>
      </c>
      <c r="D118" s="1" t="s">
        <v>67</v>
      </c>
      <c r="E118" s="75">
        <v>0.02</v>
      </c>
      <c r="F118" s="87">
        <v>63183</v>
      </c>
      <c r="G118" s="88">
        <f t="shared" si="14"/>
        <v>1263.66</v>
      </c>
      <c r="H118" s="89"/>
      <c r="I118" s="120" t="str">
        <f ca="1" t="shared" si="9"/>
        <v>4/29/2025</v>
      </c>
      <c r="J118" s="130">
        <v>45</v>
      </c>
      <c r="K118" s="76">
        <f ca="1" t="shared" ref="K118:K125" si="15">I118+J118+15</f>
        <v>45836</v>
      </c>
      <c r="L118" s="88" t="s">
        <v>38</v>
      </c>
      <c r="M118" s="122">
        <f>14*47</f>
        <v>658</v>
      </c>
      <c r="N118" s="91">
        <f t="shared" si="13"/>
        <v>96.0227963525836</v>
      </c>
      <c r="O118" s="79" t="s">
        <v>269</v>
      </c>
      <c r="P118" s="92"/>
      <c r="Q118" s="92"/>
      <c r="R118" s="92">
        <f>F118</f>
        <v>63183</v>
      </c>
      <c r="S118" s="92"/>
      <c r="T118" s="92"/>
      <c r="U118" s="103"/>
      <c r="V118" s="135"/>
      <c r="W118" s="73" t="s">
        <v>229</v>
      </c>
      <c r="X118" s="146" t="s">
        <v>28</v>
      </c>
    </row>
    <row r="119" ht="28.8" spans="1:24">
      <c r="A119" s="73" t="s">
        <v>270</v>
      </c>
      <c r="B119" s="99" t="s">
        <v>33</v>
      </c>
      <c r="C119" s="86" t="s">
        <v>55</v>
      </c>
      <c r="D119" s="1" t="s">
        <v>67</v>
      </c>
      <c r="E119" s="75">
        <v>0.02</v>
      </c>
      <c r="F119" s="100">
        <v>11771.3</v>
      </c>
      <c r="G119" s="103">
        <f t="shared" si="14"/>
        <v>235.426</v>
      </c>
      <c r="H119" s="101"/>
      <c r="I119" s="120" t="str">
        <f ca="1" t="shared" si="9"/>
        <v>6/26/2025</v>
      </c>
      <c r="J119" s="132">
        <v>30</v>
      </c>
      <c r="K119" s="76">
        <f ca="1" t="shared" si="15"/>
        <v>45879</v>
      </c>
      <c r="L119" s="103" t="s">
        <v>38</v>
      </c>
      <c r="M119" s="133">
        <f>20*24*0.3*0.3</f>
        <v>43.2</v>
      </c>
      <c r="N119" s="134">
        <f t="shared" si="13"/>
        <v>272.483796296296</v>
      </c>
      <c r="O119" s="79" t="s">
        <v>109</v>
      </c>
      <c r="P119" s="135">
        <f>F119</f>
        <v>11771.3</v>
      </c>
      <c r="Q119" s="135"/>
      <c r="R119" s="135"/>
      <c r="S119" s="135"/>
      <c r="T119" s="135"/>
      <c r="U119" s="103"/>
      <c r="V119" s="135"/>
      <c r="W119" s="73" t="s">
        <v>229</v>
      </c>
      <c r="X119" s="146" t="s">
        <v>28</v>
      </c>
    </row>
    <row r="120" ht="28.8" spans="1:24">
      <c r="A120" s="73" t="s">
        <v>271</v>
      </c>
      <c r="B120" s="99" t="s">
        <v>33</v>
      </c>
      <c r="C120" s="86" t="s">
        <v>55</v>
      </c>
      <c r="D120" s="1" t="s">
        <v>67</v>
      </c>
      <c r="E120" s="75">
        <v>0.02</v>
      </c>
      <c r="F120" s="100">
        <v>11050</v>
      </c>
      <c r="G120" s="103">
        <f t="shared" si="14"/>
        <v>221</v>
      </c>
      <c r="H120" s="101"/>
      <c r="I120" s="120" t="str">
        <f ca="1" t="shared" si="9"/>
        <v>6/14/2025</v>
      </c>
      <c r="J120" s="132">
        <v>30</v>
      </c>
      <c r="K120" s="76">
        <f ca="1" t="shared" si="15"/>
        <v>45867</v>
      </c>
      <c r="L120" s="103" t="s">
        <v>38</v>
      </c>
      <c r="M120" s="133">
        <f>7.7*8.7</f>
        <v>66.99</v>
      </c>
      <c r="N120" s="134">
        <f t="shared" si="13"/>
        <v>164.949992536199</v>
      </c>
      <c r="O120" s="79" t="s">
        <v>259</v>
      </c>
      <c r="P120" s="135">
        <v>11000</v>
      </c>
      <c r="Q120" s="135"/>
      <c r="R120" s="135"/>
      <c r="S120" s="135"/>
      <c r="T120" s="135"/>
      <c r="U120" s="103"/>
      <c r="V120" s="135"/>
      <c r="W120" s="73" t="s">
        <v>229</v>
      </c>
      <c r="X120" s="146" t="s">
        <v>28</v>
      </c>
    </row>
    <row r="121" ht="43.2" spans="1:24">
      <c r="A121" s="73" t="s">
        <v>272</v>
      </c>
      <c r="B121" s="74" t="s">
        <v>33</v>
      </c>
      <c r="C121" s="1" t="s">
        <v>88</v>
      </c>
      <c r="D121" s="1" t="s">
        <v>67</v>
      </c>
      <c r="E121" s="75">
        <v>0.02</v>
      </c>
      <c r="F121" s="51">
        <v>230000</v>
      </c>
      <c r="G121" s="88">
        <f t="shared" si="14"/>
        <v>4600</v>
      </c>
      <c r="I121" s="120" t="str">
        <f ca="1" t="shared" si="9"/>
        <v>8/11/2025</v>
      </c>
      <c r="K121" s="76">
        <f ca="1" t="shared" si="15"/>
        <v>45895</v>
      </c>
      <c r="L121" s="1" t="s">
        <v>273</v>
      </c>
      <c r="M121" s="78">
        <v>10</v>
      </c>
      <c r="N121" s="142">
        <f t="shared" si="13"/>
        <v>23000</v>
      </c>
      <c r="O121" s="79" t="s">
        <v>274</v>
      </c>
      <c r="R121" s="5">
        <f>Table6[[#This Row],[Value (RM)]]</f>
        <v>230000</v>
      </c>
      <c r="V121" s="49"/>
      <c r="W121" s="73" t="s">
        <v>229</v>
      </c>
      <c r="X121" s="146" t="s">
        <v>28</v>
      </c>
    </row>
    <row r="122" ht="28.8" spans="1:24">
      <c r="A122" s="73" t="s">
        <v>275</v>
      </c>
      <c r="B122" s="74" t="s">
        <v>33</v>
      </c>
      <c r="C122" s="1" t="s">
        <v>34</v>
      </c>
      <c r="D122" s="1" t="s">
        <v>67</v>
      </c>
      <c r="E122" s="75">
        <v>0.02</v>
      </c>
      <c r="F122" s="51">
        <v>78500</v>
      </c>
      <c r="G122" s="88">
        <f t="shared" si="14"/>
        <v>1570</v>
      </c>
      <c r="I122" s="120" t="str">
        <f ca="1" t="shared" si="9"/>
        <v>7/8/2025</v>
      </c>
      <c r="K122" s="76">
        <f ca="1" t="shared" si="15"/>
        <v>45861</v>
      </c>
      <c r="L122" s="1" t="s">
        <v>38</v>
      </c>
      <c r="M122" s="78">
        <f>0.8*0.8*3000</f>
        <v>1920</v>
      </c>
      <c r="N122" s="142">
        <f t="shared" si="13"/>
        <v>40.8854166666667</v>
      </c>
      <c r="O122" s="79" t="s">
        <v>274</v>
      </c>
      <c r="R122" s="5">
        <f>Table6[[#This Row],[Value (RM)]]</f>
        <v>78500</v>
      </c>
      <c r="V122" s="49"/>
      <c r="W122" s="73" t="s">
        <v>229</v>
      </c>
      <c r="X122" s="146" t="s">
        <v>28</v>
      </c>
    </row>
    <row r="123" ht="28.8" spans="1:24">
      <c r="A123" s="73" t="s">
        <v>276</v>
      </c>
      <c r="B123" s="74" t="s">
        <v>33</v>
      </c>
      <c r="C123" s="1" t="s">
        <v>277</v>
      </c>
      <c r="D123" s="1" t="s">
        <v>67</v>
      </c>
      <c r="E123" s="75">
        <v>0.02</v>
      </c>
      <c r="F123" s="51">
        <v>78500</v>
      </c>
      <c r="G123" s="88">
        <f t="shared" si="14"/>
        <v>1570</v>
      </c>
      <c r="I123" s="120" t="str">
        <f ca="1" t="shared" si="9"/>
        <v>3/14/2025</v>
      </c>
      <c r="K123" s="76">
        <f ca="1" t="shared" si="15"/>
        <v>45745</v>
      </c>
      <c r="L123" s="1" t="s">
        <v>38</v>
      </c>
      <c r="M123" s="78">
        <f>0.8*0.8*3000</f>
        <v>1920</v>
      </c>
      <c r="N123" s="142">
        <f t="shared" si="13"/>
        <v>40.8854166666667</v>
      </c>
      <c r="O123" s="79" t="s">
        <v>274</v>
      </c>
      <c r="R123" s="5">
        <f>Table6[[#This Row],[Value (RM)]]</f>
        <v>78500</v>
      </c>
      <c r="V123" s="49"/>
      <c r="W123" s="73" t="s">
        <v>229</v>
      </c>
      <c r="X123" s="146" t="s">
        <v>28</v>
      </c>
    </row>
    <row r="124" ht="28.8" spans="1:24">
      <c r="A124" s="73" t="s">
        <v>278</v>
      </c>
      <c r="B124" s="74" t="s">
        <v>33</v>
      </c>
      <c r="C124" s="1" t="s">
        <v>55</v>
      </c>
      <c r="D124" s="1" t="s">
        <v>67</v>
      </c>
      <c r="E124" s="75">
        <v>0.02</v>
      </c>
      <c r="F124" s="51">
        <v>235000</v>
      </c>
      <c r="G124" s="88">
        <f t="shared" si="14"/>
        <v>4700</v>
      </c>
      <c r="I124" s="120" t="str">
        <f ca="1" t="shared" si="9"/>
        <v>4/1/2025</v>
      </c>
      <c r="K124" s="76">
        <f ca="1" t="shared" si="15"/>
        <v>45763</v>
      </c>
      <c r="L124" s="1" t="s">
        <v>59</v>
      </c>
      <c r="M124" s="78">
        <v>1</v>
      </c>
      <c r="N124" s="142">
        <f t="shared" si="13"/>
        <v>235000</v>
      </c>
      <c r="O124" s="79" t="s">
        <v>274</v>
      </c>
      <c r="R124" s="5">
        <f>Table6[[#This Row],[Value (RM)]]</f>
        <v>235000</v>
      </c>
      <c r="V124" s="49"/>
      <c r="W124" s="73" t="s">
        <v>229</v>
      </c>
      <c r="X124" s="146" t="s">
        <v>28</v>
      </c>
    </row>
    <row r="125" ht="28.8" spans="1:24">
      <c r="A125" s="73" t="s">
        <v>279</v>
      </c>
      <c r="B125" s="74" t="s">
        <v>33</v>
      </c>
      <c r="C125" s="1" t="s">
        <v>146</v>
      </c>
      <c r="D125" s="1" t="s">
        <v>67</v>
      </c>
      <c r="E125" s="75">
        <v>0.02</v>
      </c>
      <c r="F125" s="51">
        <v>53960</v>
      </c>
      <c r="G125" s="88">
        <f t="shared" si="14"/>
        <v>1079.2</v>
      </c>
      <c r="I125" s="120" t="str">
        <f ca="1" t="shared" si="9"/>
        <v>9/8/2025</v>
      </c>
      <c r="J125" s="77">
        <v>30</v>
      </c>
      <c r="K125" s="76">
        <f ca="1" t="shared" si="15"/>
        <v>45953</v>
      </c>
      <c r="L125" s="1" t="s">
        <v>11</v>
      </c>
      <c r="M125" s="78">
        <v>2</v>
      </c>
      <c r="N125" s="142">
        <f t="shared" si="13"/>
        <v>26980</v>
      </c>
      <c r="O125" s="79" t="s">
        <v>280</v>
      </c>
      <c r="P125">
        <v>53960</v>
      </c>
      <c r="V125" s="49"/>
      <c r="W125" s="73" t="s">
        <v>229</v>
      </c>
      <c r="X125" s="146" t="s">
        <v>28</v>
      </c>
    </row>
    <row r="126" ht="28.8" spans="1:24">
      <c r="A126" s="73" t="s">
        <v>281</v>
      </c>
      <c r="B126" s="74" t="s">
        <v>33</v>
      </c>
      <c r="C126" s="1" t="s">
        <v>55</v>
      </c>
      <c r="D126" s="1" t="s">
        <v>27</v>
      </c>
      <c r="E126" s="75">
        <v>0.02</v>
      </c>
      <c r="F126" s="51">
        <v>700000</v>
      </c>
      <c r="G126" s="88">
        <f t="shared" si="14"/>
        <v>14000</v>
      </c>
      <c r="I126" s="120" t="str">
        <f ca="1" t="shared" si="9"/>
        <v>8/14/2025</v>
      </c>
      <c r="K126" s="76"/>
      <c r="L126" s="1" t="s">
        <v>29</v>
      </c>
      <c r="M126" s="78">
        <v>1</v>
      </c>
      <c r="N126" s="142">
        <f t="shared" si="13"/>
        <v>700000</v>
      </c>
      <c r="O126" s="79" t="s">
        <v>280</v>
      </c>
      <c r="R126" s="5">
        <f>Table6[[#This Row],[Value (RM)]]</f>
        <v>700000</v>
      </c>
      <c r="V126" s="49"/>
      <c r="W126" s="73" t="s">
        <v>229</v>
      </c>
      <c r="X126" s="146" t="s">
        <v>28</v>
      </c>
    </row>
    <row r="127" ht="28.8" spans="1:24">
      <c r="A127" s="73" t="s">
        <v>282</v>
      </c>
      <c r="B127" s="74" t="s">
        <v>33</v>
      </c>
      <c r="C127" s="1" t="s">
        <v>97</v>
      </c>
      <c r="D127" s="1" t="s">
        <v>67</v>
      </c>
      <c r="E127" s="75">
        <v>0.02</v>
      </c>
      <c r="F127" s="51">
        <v>612000</v>
      </c>
      <c r="G127" s="88">
        <f t="shared" si="14"/>
        <v>12240</v>
      </c>
      <c r="I127" s="120" t="str">
        <f ca="1" t="shared" si="9"/>
        <v>8/24/2025</v>
      </c>
      <c r="J127" s="77">
        <v>60</v>
      </c>
      <c r="K127" s="76">
        <f ca="1">I127+J127+15</f>
        <v>45968</v>
      </c>
      <c r="L127" s="1" t="s">
        <v>29</v>
      </c>
      <c r="M127" s="78">
        <v>1</v>
      </c>
      <c r="N127" s="142">
        <f t="shared" si="13"/>
        <v>612000</v>
      </c>
      <c r="O127" s="79" t="s">
        <v>280</v>
      </c>
      <c r="R127" s="5">
        <f>Table6[[#This Row],[Value (RM)]]</f>
        <v>612000</v>
      </c>
      <c r="V127" s="49"/>
      <c r="W127" s="73" t="s">
        <v>229</v>
      </c>
      <c r="X127" s="146" t="s">
        <v>28</v>
      </c>
    </row>
    <row r="128" ht="43.2" spans="1:24">
      <c r="A128" s="73" t="s">
        <v>283</v>
      </c>
      <c r="B128" s="74" t="s">
        <v>50</v>
      </c>
      <c r="C128" s="1" t="s">
        <v>284</v>
      </c>
      <c r="D128" s="1" t="s">
        <v>67</v>
      </c>
      <c r="E128" s="75">
        <v>0.1</v>
      </c>
      <c r="F128" s="51">
        <v>90100</v>
      </c>
      <c r="G128" s="88">
        <f t="shared" si="14"/>
        <v>9010</v>
      </c>
      <c r="I128" s="120" t="str">
        <f ca="1" t="shared" si="9"/>
        <v>4/16/2025</v>
      </c>
      <c r="J128" s="77">
        <v>21</v>
      </c>
      <c r="K128" s="76">
        <f ca="1">I128+J128+15</f>
        <v>45799</v>
      </c>
      <c r="L128" s="1" t="s">
        <v>285</v>
      </c>
      <c r="M128" s="78">
        <f>1000*5+5000*5+10000</f>
        <v>40000</v>
      </c>
      <c r="N128" s="142">
        <f t="shared" si="13"/>
        <v>2.2525</v>
      </c>
      <c r="O128" s="79" t="s">
        <v>286</v>
      </c>
      <c r="U128" s="49">
        <f>F128</f>
        <v>90100</v>
      </c>
      <c r="V128" s="49"/>
      <c r="W128" s="149" t="s">
        <v>43</v>
      </c>
      <c r="X128" s="146" t="s">
        <v>28</v>
      </c>
    </row>
    <row r="129" ht="28.8" spans="1:24">
      <c r="A129" s="73" t="s">
        <v>287</v>
      </c>
      <c r="B129" s="99" t="s">
        <v>50</v>
      </c>
      <c r="C129" s="86" t="s">
        <v>51</v>
      </c>
      <c r="D129" s="1" t="s">
        <v>67</v>
      </c>
      <c r="E129" s="75">
        <v>0.02</v>
      </c>
      <c r="F129" s="100">
        <v>262000</v>
      </c>
      <c r="G129" s="88">
        <f t="shared" si="14"/>
        <v>5240</v>
      </c>
      <c r="H129" s="101"/>
      <c r="I129" s="120" t="str">
        <f ca="1" t="shared" si="9"/>
        <v>11/18/2025</v>
      </c>
      <c r="J129" s="132">
        <f>150</f>
        <v>150</v>
      </c>
      <c r="K129" s="76">
        <f ca="1">I129+J129+15</f>
        <v>46144</v>
      </c>
      <c r="L129" s="103" t="s">
        <v>288</v>
      </c>
      <c r="M129" s="133">
        <v>15</v>
      </c>
      <c r="N129" s="109">
        <f t="shared" si="13"/>
        <v>17466.6666666667</v>
      </c>
      <c r="O129" s="79" t="s">
        <v>289</v>
      </c>
      <c r="P129" s="135"/>
      <c r="Q129" s="135"/>
      <c r="R129" s="135">
        <f>Table6[[#This Row],[Value (RM)]]</f>
        <v>262000</v>
      </c>
      <c r="S129" s="135"/>
      <c r="T129" s="135"/>
      <c r="U129" s="103"/>
      <c r="V129" s="135"/>
      <c r="W129" s="149" t="s">
        <v>43</v>
      </c>
      <c r="X129" s="146" t="s">
        <v>28</v>
      </c>
    </row>
    <row r="130" spans="1:24">
      <c r="A130" s="73" t="s">
        <v>290</v>
      </c>
      <c r="B130" s="74" t="s">
        <v>291</v>
      </c>
      <c r="C130" s="1" t="s">
        <v>292</v>
      </c>
      <c r="D130" s="1" t="s">
        <v>67</v>
      </c>
      <c r="E130" s="75">
        <v>0.9</v>
      </c>
      <c r="F130" s="51">
        <v>3000</v>
      </c>
      <c r="G130" s="88">
        <f t="shared" si="14"/>
        <v>2700</v>
      </c>
      <c r="I130" s="120" t="str">
        <f ca="1" t="shared" ref="I130:I193" si="16">TEXT(RANDBETWEEN(DATE(2025,1,1),DATE(2025,12,31)),"m/d/yyyy")</f>
        <v>6/19/2025</v>
      </c>
      <c r="K130" s="76"/>
      <c r="N130" s="142" t="e">
        <f t="shared" si="13"/>
        <v>#DIV/0!</v>
      </c>
      <c r="T130" s="49"/>
      <c r="U130" s="49">
        <f>Table6[[#This Row],[Value (RM)]]</f>
        <v>3000</v>
      </c>
      <c r="V130" s="49"/>
      <c r="W130" s="149" t="s">
        <v>43</v>
      </c>
      <c r="X130" s="146" t="s">
        <v>28</v>
      </c>
    </row>
    <row r="131" ht="28.8" spans="1:24">
      <c r="A131" s="73" t="s">
        <v>293</v>
      </c>
      <c r="B131" s="74" t="s">
        <v>33</v>
      </c>
      <c r="C131" s="1" t="s">
        <v>294</v>
      </c>
      <c r="D131" s="1" t="s">
        <v>67</v>
      </c>
      <c r="E131" s="75">
        <v>0.05</v>
      </c>
      <c r="F131" s="51">
        <v>33264</v>
      </c>
      <c r="G131" s="88">
        <f t="shared" si="14"/>
        <v>1663.2</v>
      </c>
      <c r="I131" s="120" t="str">
        <f ca="1" t="shared" si="16"/>
        <v>1/28/2025</v>
      </c>
      <c r="J131" s="77">
        <v>180</v>
      </c>
      <c r="K131" s="76">
        <f ca="1">I131+J131+15</f>
        <v>45880</v>
      </c>
      <c r="L131" s="1" t="s">
        <v>295</v>
      </c>
      <c r="M131" s="78">
        <v>2</v>
      </c>
      <c r="N131" s="142">
        <f t="shared" si="13"/>
        <v>16632</v>
      </c>
      <c r="O131" s="79" t="s">
        <v>296</v>
      </c>
      <c r="U131" s="49">
        <f>F131</f>
        <v>33264</v>
      </c>
      <c r="V131" s="49"/>
      <c r="W131" s="149" t="s">
        <v>43</v>
      </c>
      <c r="X131" s="146" t="s">
        <v>28</v>
      </c>
    </row>
    <row r="132" spans="1:24">
      <c r="A132" s="73" t="s">
        <v>297</v>
      </c>
      <c r="B132" s="74" t="s">
        <v>33</v>
      </c>
      <c r="C132" s="1" t="s">
        <v>160</v>
      </c>
      <c r="D132" s="1" t="s">
        <v>67</v>
      </c>
      <c r="E132" s="75">
        <v>0.9</v>
      </c>
      <c r="F132" s="51">
        <f>99510/7.5</f>
        <v>13268</v>
      </c>
      <c r="G132" s="88">
        <f t="shared" si="14"/>
        <v>11941.2</v>
      </c>
      <c r="I132" s="120" t="str">
        <f ca="1" t="shared" si="16"/>
        <v>9/3/2025</v>
      </c>
      <c r="J132" s="77">
        <v>30</v>
      </c>
      <c r="K132" s="76">
        <f ca="1">I132+J132+15</f>
        <v>45948</v>
      </c>
      <c r="L132" s="1" t="s">
        <v>59</v>
      </c>
      <c r="M132" s="78">
        <v>1</v>
      </c>
      <c r="N132" s="138">
        <f t="shared" si="13"/>
        <v>13268</v>
      </c>
      <c r="O132" s="79" t="s">
        <v>298</v>
      </c>
      <c r="P132" s="164">
        <f>Table6[[#This Row],[Value (RM)]]</f>
        <v>13268</v>
      </c>
      <c r="Q132" s="164"/>
      <c r="V132" s="49"/>
      <c r="W132" s="149" t="s">
        <v>43</v>
      </c>
      <c r="X132" s="146" t="s">
        <v>28</v>
      </c>
    </row>
    <row r="133" spans="1:24">
      <c r="A133" s="73" t="s">
        <v>299</v>
      </c>
      <c r="B133" s="99" t="s">
        <v>33</v>
      </c>
      <c r="C133" s="86" t="s">
        <v>55</v>
      </c>
      <c r="D133" s="1" t="s">
        <v>27</v>
      </c>
      <c r="E133" s="75">
        <v>0.03</v>
      </c>
      <c r="F133" s="100">
        <v>31000</v>
      </c>
      <c r="G133" s="103">
        <f t="shared" si="14"/>
        <v>930</v>
      </c>
      <c r="H133" s="101"/>
      <c r="I133" s="120" t="str">
        <f ca="1" t="shared" si="16"/>
        <v>10/25/2025</v>
      </c>
      <c r="J133" s="132">
        <v>30</v>
      </c>
      <c r="K133" s="76" t="s">
        <v>28</v>
      </c>
      <c r="L133" s="103" t="s">
        <v>68</v>
      </c>
      <c r="M133" s="133">
        <v>1</v>
      </c>
      <c r="N133" s="134">
        <f t="shared" si="13"/>
        <v>31000</v>
      </c>
      <c r="O133" s="79" t="s">
        <v>300</v>
      </c>
      <c r="P133" s="135">
        <f>F133</f>
        <v>31000</v>
      </c>
      <c r="Q133" s="135"/>
      <c r="R133" s="135"/>
      <c r="S133" s="135"/>
      <c r="T133" s="135"/>
      <c r="U133" s="103"/>
      <c r="V133" s="135"/>
      <c r="W133" s="149" t="s">
        <v>43</v>
      </c>
      <c r="X133" s="146" t="s">
        <v>28</v>
      </c>
    </row>
    <row r="134" spans="1:24">
      <c r="A134" s="73" t="s">
        <v>301</v>
      </c>
      <c r="B134" s="74" t="s">
        <v>33</v>
      </c>
      <c r="C134" s="86" t="s">
        <v>188</v>
      </c>
      <c r="D134" s="1" t="s">
        <v>302</v>
      </c>
      <c r="E134" s="75">
        <v>0.018</v>
      </c>
      <c r="F134" s="87">
        <v>250000</v>
      </c>
      <c r="G134" s="88">
        <f t="shared" si="14"/>
        <v>4500</v>
      </c>
      <c r="H134" s="89"/>
      <c r="I134" s="120" t="str">
        <f ca="1" t="shared" si="16"/>
        <v>9/18/2025</v>
      </c>
      <c r="J134" s="89"/>
      <c r="K134" s="76" t="s">
        <v>28</v>
      </c>
      <c r="L134" s="88" t="s">
        <v>303</v>
      </c>
      <c r="M134" s="122">
        <v>500</v>
      </c>
      <c r="N134" s="109">
        <f t="shared" si="13"/>
        <v>500</v>
      </c>
      <c r="O134" s="79" t="s">
        <v>300</v>
      </c>
      <c r="P134" s="92"/>
      <c r="Q134" s="92"/>
      <c r="R134" s="92"/>
      <c r="S134" s="92"/>
      <c r="T134" s="92"/>
      <c r="U134" s="145">
        <f>F134</f>
        <v>250000</v>
      </c>
      <c r="V134" s="92"/>
      <c r="W134" s="149" t="s">
        <v>43</v>
      </c>
      <c r="X134" s="146" t="s">
        <v>28</v>
      </c>
    </row>
    <row r="135" spans="1:24">
      <c r="A135" s="73" t="s">
        <v>301</v>
      </c>
      <c r="B135" s="74" t="s">
        <v>33</v>
      </c>
      <c r="C135" s="86" t="s">
        <v>34</v>
      </c>
      <c r="D135" s="1" t="s">
        <v>302</v>
      </c>
      <c r="E135" s="75">
        <v>0.018</v>
      </c>
      <c r="F135" s="87">
        <v>250000</v>
      </c>
      <c r="G135" s="88">
        <f t="shared" si="14"/>
        <v>4500</v>
      </c>
      <c r="H135" s="89"/>
      <c r="I135" s="120" t="str">
        <f ca="1" t="shared" si="16"/>
        <v>1/30/2025</v>
      </c>
      <c r="J135" s="89"/>
      <c r="K135" s="76" t="s">
        <v>28</v>
      </c>
      <c r="L135" s="88" t="s">
        <v>303</v>
      </c>
      <c r="M135" s="122">
        <v>500</v>
      </c>
      <c r="N135" s="109">
        <f t="shared" si="13"/>
        <v>500</v>
      </c>
      <c r="O135" s="79" t="s">
        <v>300</v>
      </c>
      <c r="P135" s="92"/>
      <c r="Q135" s="92"/>
      <c r="R135" s="92"/>
      <c r="S135" s="92"/>
      <c r="T135" s="92"/>
      <c r="U135" s="145">
        <f>F135</f>
        <v>250000</v>
      </c>
      <c r="V135" s="92"/>
      <c r="W135" s="149" t="s">
        <v>43</v>
      </c>
      <c r="X135" s="146" t="s">
        <v>28</v>
      </c>
    </row>
    <row r="136" spans="1:24">
      <c r="A136" s="73" t="s">
        <v>301</v>
      </c>
      <c r="B136" s="74" t="s">
        <v>33</v>
      </c>
      <c r="C136" s="86" t="s">
        <v>304</v>
      </c>
      <c r="D136" s="1" t="s">
        <v>302</v>
      </c>
      <c r="E136" s="75">
        <v>0.018</v>
      </c>
      <c r="F136" s="87">
        <v>250000</v>
      </c>
      <c r="G136" s="88">
        <f t="shared" si="14"/>
        <v>4500</v>
      </c>
      <c r="H136" s="89"/>
      <c r="I136" s="120" t="str">
        <f ca="1" t="shared" si="16"/>
        <v>2/8/2025</v>
      </c>
      <c r="J136" s="89"/>
      <c r="K136" s="76" t="s">
        <v>28</v>
      </c>
      <c r="L136" s="88" t="s">
        <v>303</v>
      </c>
      <c r="M136" s="122">
        <v>500</v>
      </c>
      <c r="N136" s="109">
        <f t="shared" si="13"/>
        <v>500</v>
      </c>
      <c r="O136" s="79" t="s">
        <v>300</v>
      </c>
      <c r="P136" s="92"/>
      <c r="Q136" s="92"/>
      <c r="R136" s="92"/>
      <c r="S136" s="92"/>
      <c r="T136" s="92"/>
      <c r="U136" s="145">
        <f>F136</f>
        <v>250000</v>
      </c>
      <c r="V136" s="92"/>
      <c r="W136" s="149" t="s">
        <v>43</v>
      </c>
      <c r="X136" s="146" t="s">
        <v>28</v>
      </c>
    </row>
    <row r="137" spans="1:24">
      <c r="A137" s="73" t="s">
        <v>301</v>
      </c>
      <c r="B137" s="74" t="s">
        <v>33</v>
      </c>
      <c r="C137" s="86" t="s">
        <v>305</v>
      </c>
      <c r="D137" s="1" t="s">
        <v>302</v>
      </c>
      <c r="E137" s="75">
        <v>0.018</v>
      </c>
      <c r="F137" s="87">
        <v>250000</v>
      </c>
      <c r="G137" s="88">
        <f t="shared" si="14"/>
        <v>4500</v>
      </c>
      <c r="H137" s="89"/>
      <c r="I137" s="120" t="str">
        <f ca="1" t="shared" si="16"/>
        <v>8/20/2025</v>
      </c>
      <c r="J137" s="89"/>
      <c r="K137" s="76" t="s">
        <v>28</v>
      </c>
      <c r="L137" s="88" t="s">
        <v>303</v>
      </c>
      <c r="M137" s="122">
        <v>500</v>
      </c>
      <c r="N137" s="109">
        <f t="shared" si="13"/>
        <v>500</v>
      </c>
      <c r="O137" s="79" t="s">
        <v>300</v>
      </c>
      <c r="P137" s="92"/>
      <c r="Q137" s="92"/>
      <c r="R137" s="92"/>
      <c r="S137" s="92"/>
      <c r="T137" s="92"/>
      <c r="U137" s="145">
        <f>F137</f>
        <v>250000</v>
      </c>
      <c r="V137" s="92"/>
      <c r="W137" s="149" t="s">
        <v>43</v>
      </c>
      <c r="X137" s="146" t="s">
        <v>28</v>
      </c>
    </row>
    <row r="138" ht="28.8" spans="1:24">
      <c r="A138" s="73" t="s">
        <v>306</v>
      </c>
      <c r="B138" s="74" t="s">
        <v>33</v>
      </c>
      <c r="C138" s="1" t="s">
        <v>91</v>
      </c>
      <c r="D138" s="1" t="s">
        <v>302</v>
      </c>
      <c r="E138" s="75">
        <v>0.018</v>
      </c>
      <c r="F138" s="51">
        <v>30000</v>
      </c>
      <c r="G138" s="88">
        <f t="shared" si="14"/>
        <v>540</v>
      </c>
      <c r="I138" s="120" t="str">
        <f ca="1" t="shared" si="16"/>
        <v>1/2/2025</v>
      </c>
      <c r="K138" s="76" t="s">
        <v>28</v>
      </c>
      <c r="L138" s="1" t="s">
        <v>29</v>
      </c>
      <c r="M138" s="78">
        <v>15</v>
      </c>
      <c r="N138" s="142">
        <f t="shared" si="13"/>
        <v>2000</v>
      </c>
      <c r="O138" s="79" t="s">
        <v>300</v>
      </c>
      <c r="U138" s="49">
        <f>Table6[[#This Row],[Value (RM)]]</f>
        <v>30000</v>
      </c>
      <c r="V138" s="49"/>
      <c r="W138" s="149" t="s">
        <v>43</v>
      </c>
      <c r="X138" s="146" t="s">
        <v>28</v>
      </c>
    </row>
    <row r="139" spans="1:24">
      <c r="A139" s="73" t="s">
        <v>307</v>
      </c>
      <c r="B139" s="74" t="s">
        <v>33</v>
      </c>
      <c r="C139" s="86" t="s">
        <v>129</v>
      </c>
      <c r="D139" s="1" t="s">
        <v>67</v>
      </c>
      <c r="E139" s="75">
        <v>0.02</v>
      </c>
      <c r="F139" s="100">
        <v>54000</v>
      </c>
      <c r="G139" s="103">
        <f t="shared" si="14"/>
        <v>1080</v>
      </c>
      <c r="H139" s="101"/>
      <c r="I139" s="120" t="str">
        <f ca="1" t="shared" si="16"/>
        <v>12/6/2025</v>
      </c>
      <c r="J139" s="132">
        <v>14</v>
      </c>
      <c r="K139" s="76">
        <f ca="1">I139+J139+15</f>
        <v>46026</v>
      </c>
      <c r="L139" s="103" t="s">
        <v>38</v>
      </c>
      <c r="M139" s="133">
        <v>248</v>
      </c>
      <c r="N139" s="138">
        <f t="shared" si="13"/>
        <v>217.741935483871</v>
      </c>
      <c r="O139" s="79" t="s">
        <v>308</v>
      </c>
      <c r="P139" s="135"/>
      <c r="Q139" s="135"/>
      <c r="R139" s="135"/>
      <c r="S139" s="135"/>
      <c r="T139" s="135"/>
      <c r="U139" s="103">
        <f>F139</f>
        <v>54000</v>
      </c>
      <c r="V139" s="135"/>
      <c r="W139" s="149" t="s">
        <v>43</v>
      </c>
      <c r="X139" s="146" t="s">
        <v>28</v>
      </c>
    </row>
    <row r="140" spans="1:24">
      <c r="A140" s="73" t="s">
        <v>309</v>
      </c>
      <c r="B140" s="99" t="s">
        <v>45</v>
      </c>
      <c r="C140" s="86" t="s">
        <v>192</v>
      </c>
      <c r="D140" s="1" t="s">
        <v>27</v>
      </c>
      <c r="E140" s="75">
        <v>0.02</v>
      </c>
      <c r="F140" s="100">
        <v>200000</v>
      </c>
      <c r="G140" s="88">
        <f t="shared" si="14"/>
        <v>4000</v>
      </c>
      <c r="H140" s="101"/>
      <c r="I140" s="120" t="str">
        <f ca="1" t="shared" si="16"/>
        <v>7/21/2025</v>
      </c>
      <c r="J140" s="132"/>
      <c r="K140" s="76"/>
      <c r="L140" s="103" t="s">
        <v>38</v>
      </c>
      <c r="M140" s="133">
        <v>320</v>
      </c>
      <c r="N140" s="109">
        <f t="shared" si="13"/>
        <v>625</v>
      </c>
      <c r="P140" s="135"/>
      <c r="Q140" s="135"/>
      <c r="R140" s="135">
        <f>F140</f>
        <v>200000</v>
      </c>
      <c r="S140" s="135"/>
      <c r="T140" s="135"/>
      <c r="U140" s="103"/>
      <c r="V140" s="135"/>
      <c r="W140" s="3" t="s">
        <v>310</v>
      </c>
      <c r="X140" s="146" t="s">
        <v>28</v>
      </c>
    </row>
    <row r="141" spans="1:24">
      <c r="A141" s="73" t="s">
        <v>311</v>
      </c>
      <c r="B141" s="99" t="s">
        <v>33</v>
      </c>
      <c r="C141" s="86" t="s">
        <v>55</v>
      </c>
      <c r="D141" s="1" t="s">
        <v>67</v>
      </c>
      <c r="E141" s="75">
        <v>0.02</v>
      </c>
      <c r="F141" s="100">
        <v>35000</v>
      </c>
      <c r="G141" s="103">
        <f t="shared" si="14"/>
        <v>700</v>
      </c>
      <c r="H141" s="101"/>
      <c r="I141" s="120" t="str">
        <f ca="1" t="shared" si="16"/>
        <v>12/24/2025</v>
      </c>
      <c r="J141" s="132">
        <v>30</v>
      </c>
      <c r="K141" s="76">
        <f ca="1">I141+J141+15</f>
        <v>46060</v>
      </c>
      <c r="L141" s="103" t="s">
        <v>35</v>
      </c>
      <c r="M141" s="133">
        <v>100</v>
      </c>
      <c r="N141" s="134">
        <f t="shared" si="13"/>
        <v>350</v>
      </c>
      <c r="O141" s="79" t="s">
        <v>162</v>
      </c>
      <c r="P141" s="135">
        <f>F141</f>
        <v>35000</v>
      </c>
      <c r="Q141" s="135"/>
      <c r="R141" s="135"/>
      <c r="S141" s="135"/>
      <c r="T141" s="135"/>
      <c r="U141" s="103"/>
      <c r="V141" s="135"/>
      <c r="W141" s="3" t="s">
        <v>310</v>
      </c>
      <c r="X141" s="146" t="s">
        <v>28</v>
      </c>
    </row>
    <row r="142" spans="1:24">
      <c r="A142" s="73" t="s">
        <v>312</v>
      </c>
      <c r="B142" s="74" t="s">
        <v>45</v>
      </c>
      <c r="C142" s="86" t="s">
        <v>46</v>
      </c>
      <c r="D142" s="1" t="s">
        <v>302</v>
      </c>
      <c r="E142" s="75">
        <v>0.015</v>
      </c>
      <c r="F142" s="87">
        <v>300000</v>
      </c>
      <c r="G142" s="88">
        <f>E142*F142</f>
        <v>4500</v>
      </c>
      <c r="H142" s="89"/>
      <c r="I142" s="120" t="str">
        <f ca="1" t="shared" si="16"/>
        <v>6/25/2025</v>
      </c>
      <c r="J142" s="89">
        <v>60</v>
      </c>
      <c r="K142" s="76"/>
      <c r="L142" s="88" t="s">
        <v>38</v>
      </c>
      <c r="M142" s="122">
        <f>3.7*8.5</f>
        <v>31.45</v>
      </c>
      <c r="N142" s="109">
        <f t="shared" si="13"/>
        <v>9538.9507154213</v>
      </c>
      <c r="P142" s="135"/>
      <c r="Q142" s="135"/>
      <c r="R142" s="92"/>
      <c r="S142" s="92"/>
      <c r="T142" s="92">
        <f>F142</f>
        <v>300000</v>
      </c>
      <c r="U142" s="88"/>
      <c r="V142" s="92"/>
      <c r="W142" s="3" t="s">
        <v>313</v>
      </c>
      <c r="X142" s="146" t="s">
        <v>28</v>
      </c>
    </row>
    <row r="143" spans="1:24">
      <c r="A143" s="73" t="s">
        <v>314</v>
      </c>
      <c r="B143" s="99" t="s">
        <v>45</v>
      </c>
      <c r="C143" s="86" t="s">
        <v>102</v>
      </c>
      <c r="D143" s="1" t="s">
        <v>67</v>
      </c>
      <c r="E143" s="75">
        <v>1</v>
      </c>
      <c r="F143" s="100">
        <v>175000</v>
      </c>
      <c r="G143" s="88">
        <f>F143*E143</f>
        <v>175000</v>
      </c>
      <c r="H143" s="101">
        <v>5654</v>
      </c>
      <c r="I143" s="120" t="str">
        <f ca="1" t="shared" si="16"/>
        <v>10/4/2025</v>
      </c>
      <c r="J143" s="132">
        <v>3</v>
      </c>
      <c r="K143" s="76">
        <f ca="1">I143+J143</f>
        <v>45937</v>
      </c>
      <c r="L143" s="103" t="s">
        <v>116</v>
      </c>
      <c r="M143" s="133">
        <v>4</v>
      </c>
      <c r="N143" s="109">
        <f t="shared" si="13"/>
        <v>43750</v>
      </c>
      <c r="O143" s="79" t="s">
        <v>249</v>
      </c>
      <c r="P143" s="135">
        <f>F143</f>
        <v>175000</v>
      </c>
      <c r="Q143" s="135"/>
      <c r="R143" s="135"/>
      <c r="S143" s="135"/>
      <c r="T143" s="135"/>
      <c r="U143" s="103"/>
      <c r="V143" s="135"/>
      <c r="W143" s="3" t="s">
        <v>315</v>
      </c>
      <c r="X143" s="146" t="s">
        <v>28</v>
      </c>
    </row>
    <row r="144" ht="28.8" spans="1:24">
      <c r="A144" s="73" t="s">
        <v>316</v>
      </c>
      <c r="B144" s="74" t="s">
        <v>33</v>
      </c>
      <c r="C144" s="86" t="s">
        <v>126</v>
      </c>
      <c r="D144" s="1" t="s">
        <v>67</v>
      </c>
      <c r="E144" s="75">
        <v>0.02</v>
      </c>
      <c r="F144" s="87">
        <v>4400000</v>
      </c>
      <c r="G144" s="88">
        <f>E144*F144</f>
        <v>88000</v>
      </c>
      <c r="H144" s="89"/>
      <c r="I144" s="120" t="str">
        <f ca="1" t="shared" si="16"/>
        <v>5/31/2025</v>
      </c>
      <c r="J144" s="89">
        <f>5*30</f>
        <v>150</v>
      </c>
      <c r="K144" s="76">
        <f ca="1">I144+J144+15</f>
        <v>45973</v>
      </c>
      <c r="L144" s="88" t="s">
        <v>38</v>
      </c>
      <c r="M144" s="122">
        <f t="shared" ref="M144:M150" si="17">14*150*4</f>
        <v>8400</v>
      </c>
      <c r="N144" s="109">
        <f t="shared" si="13"/>
        <v>523.809523809524</v>
      </c>
      <c r="O144" s="79" t="s">
        <v>109</v>
      </c>
      <c r="P144" s="49"/>
      <c r="Q144" s="49"/>
      <c r="R144" s="92">
        <f>F144</f>
        <v>4400000</v>
      </c>
      <c r="S144" s="92"/>
      <c r="T144" s="92"/>
      <c r="U144" s="88"/>
      <c r="V144" s="92"/>
      <c r="W144" s="3" t="s">
        <v>315</v>
      </c>
      <c r="X144" s="146" t="s">
        <v>28</v>
      </c>
    </row>
    <row r="145" spans="1:24">
      <c r="A145" s="73" t="s">
        <v>317</v>
      </c>
      <c r="B145" s="74" t="s">
        <v>33</v>
      </c>
      <c r="C145" s="86" t="s">
        <v>97</v>
      </c>
      <c r="D145" s="1" t="s">
        <v>302</v>
      </c>
      <c r="E145" s="75">
        <v>0.015</v>
      </c>
      <c r="F145" s="100">
        <v>2100000</v>
      </c>
      <c r="G145" s="103">
        <f t="shared" ref="G145:G156" si="18">F145*E145</f>
        <v>31500</v>
      </c>
      <c r="H145" s="101"/>
      <c r="I145" s="120" t="str">
        <f ca="1" t="shared" si="16"/>
        <v>5/30/2025</v>
      </c>
      <c r="J145" s="132"/>
      <c r="K145" s="76" t="s">
        <v>28</v>
      </c>
      <c r="L145" s="103" t="s">
        <v>38</v>
      </c>
      <c r="M145" s="122">
        <f t="shared" si="17"/>
        <v>8400</v>
      </c>
      <c r="N145" s="109">
        <f t="shared" si="13"/>
        <v>250</v>
      </c>
      <c r="P145" s="135"/>
      <c r="Q145" s="135"/>
      <c r="R145" s="135">
        <f>F145</f>
        <v>2100000</v>
      </c>
      <c r="S145" s="135"/>
      <c r="T145" s="135"/>
      <c r="U145" s="103"/>
      <c r="V145" s="135"/>
      <c r="W145" s="3" t="s">
        <v>315</v>
      </c>
      <c r="X145" s="146" t="s">
        <v>28</v>
      </c>
    </row>
    <row r="146" spans="1:24">
      <c r="A146" s="73" t="s">
        <v>318</v>
      </c>
      <c r="B146" s="74" t="s">
        <v>45</v>
      </c>
      <c r="C146" s="1" t="s">
        <v>192</v>
      </c>
      <c r="D146" s="1" t="s">
        <v>302</v>
      </c>
      <c r="E146" s="75">
        <v>0.015</v>
      </c>
      <c r="F146" s="51">
        <f>(50000+12000)*4.5</f>
        <v>279000</v>
      </c>
      <c r="G146" s="88">
        <f t="shared" si="18"/>
        <v>4185</v>
      </c>
      <c r="I146" s="120" t="str">
        <f ca="1" t="shared" si="16"/>
        <v>5/17/2025</v>
      </c>
      <c r="K146" s="76" t="s">
        <v>28</v>
      </c>
      <c r="M146" s="122">
        <f t="shared" si="17"/>
        <v>8400</v>
      </c>
      <c r="N146" s="109">
        <f t="shared" si="13"/>
        <v>33.2142857142857</v>
      </c>
      <c r="O146" s="79" t="s">
        <v>319</v>
      </c>
      <c r="R146" s="49">
        <f>F146</f>
        <v>279000</v>
      </c>
      <c r="V146" s="49"/>
      <c r="W146" s="3" t="s">
        <v>315</v>
      </c>
      <c r="X146" s="146" t="s">
        <v>28</v>
      </c>
    </row>
    <row r="147" spans="1:24">
      <c r="A147" s="73" t="s">
        <v>320</v>
      </c>
      <c r="B147" s="74" t="s">
        <v>33</v>
      </c>
      <c r="C147" s="86" t="s">
        <v>55</v>
      </c>
      <c r="D147" s="1" t="s">
        <v>302</v>
      </c>
      <c r="E147" s="75">
        <v>0.012</v>
      </c>
      <c r="F147" s="87">
        <v>72000</v>
      </c>
      <c r="G147" s="88">
        <f t="shared" si="18"/>
        <v>864</v>
      </c>
      <c r="H147" s="89"/>
      <c r="I147" s="120" t="str">
        <f ca="1" t="shared" si="16"/>
        <v>5/16/2025</v>
      </c>
      <c r="J147" s="130"/>
      <c r="K147" s="76" t="s">
        <v>28</v>
      </c>
      <c r="L147" s="88" t="s">
        <v>68</v>
      </c>
      <c r="M147" s="122">
        <f t="shared" si="17"/>
        <v>8400</v>
      </c>
      <c r="N147" s="109">
        <f t="shared" si="13"/>
        <v>8.57142857142857</v>
      </c>
      <c r="O147" s="79" t="s">
        <v>319</v>
      </c>
      <c r="P147" s="92"/>
      <c r="Q147" s="92"/>
      <c r="R147" s="92">
        <f>F147</f>
        <v>72000</v>
      </c>
      <c r="S147" s="92"/>
      <c r="T147" s="92"/>
      <c r="U147" s="88"/>
      <c r="V147" s="92"/>
      <c r="W147" s="3" t="s">
        <v>315</v>
      </c>
      <c r="X147" s="146" t="s">
        <v>28</v>
      </c>
    </row>
    <row r="148" spans="1:24">
      <c r="A148" s="169" t="s">
        <v>321</v>
      </c>
      <c r="B148" s="74" t="s">
        <v>33</v>
      </c>
      <c r="C148" s="86" t="s">
        <v>164</v>
      </c>
      <c r="D148" s="1" t="s">
        <v>161</v>
      </c>
      <c r="E148" s="75">
        <v>0.02</v>
      </c>
      <c r="F148" s="87">
        <v>30000</v>
      </c>
      <c r="G148" s="88">
        <f t="shared" si="18"/>
        <v>600</v>
      </c>
      <c r="H148" s="89"/>
      <c r="I148" s="120" t="str">
        <f ca="1" t="shared" si="16"/>
        <v>4/13/2025</v>
      </c>
      <c r="J148" s="89">
        <v>30</v>
      </c>
      <c r="K148" s="76" t="s">
        <v>28</v>
      </c>
      <c r="L148" s="88" t="s">
        <v>38</v>
      </c>
      <c r="M148" s="122">
        <f t="shared" si="17"/>
        <v>8400</v>
      </c>
      <c r="N148" s="109">
        <f t="shared" si="13"/>
        <v>3.57142857142857</v>
      </c>
      <c r="O148" s="79" t="s">
        <v>319</v>
      </c>
      <c r="P148" s="3"/>
      <c r="Q148" s="3"/>
      <c r="R148" s="92"/>
      <c r="S148" s="92"/>
      <c r="T148" s="92"/>
      <c r="U148" s="88">
        <f>F148</f>
        <v>30000</v>
      </c>
      <c r="V148" s="92"/>
      <c r="W148" s="3" t="s">
        <v>322</v>
      </c>
      <c r="X148" s="146" t="s">
        <v>28</v>
      </c>
    </row>
    <row r="149" spans="1:24">
      <c r="A149" s="169" t="s">
        <v>323</v>
      </c>
      <c r="B149" s="74" t="s">
        <v>33</v>
      </c>
      <c r="C149" s="86" t="s">
        <v>164</v>
      </c>
      <c r="D149" s="1" t="s">
        <v>161</v>
      </c>
      <c r="E149" s="75">
        <v>0.02</v>
      </c>
      <c r="F149" s="87">
        <v>50000</v>
      </c>
      <c r="G149" s="88">
        <f t="shared" si="18"/>
        <v>1000</v>
      </c>
      <c r="H149" s="89"/>
      <c r="I149" s="120" t="str">
        <f ca="1" t="shared" si="16"/>
        <v>4/24/2025</v>
      </c>
      <c r="J149" s="89">
        <v>60</v>
      </c>
      <c r="K149" s="76" t="s">
        <v>28</v>
      </c>
      <c r="L149" s="88" t="s">
        <v>38</v>
      </c>
      <c r="M149" s="122">
        <f t="shared" si="17"/>
        <v>8400</v>
      </c>
      <c r="N149" s="109">
        <f t="shared" si="13"/>
        <v>5.95238095238095</v>
      </c>
      <c r="O149" s="79" t="s">
        <v>319</v>
      </c>
      <c r="P149" s="3"/>
      <c r="Q149" s="3"/>
      <c r="R149" s="92"/>
      <c r="S149" s="92"/>
      <c r="T149" s="92"/>
      <c r="U149" s="88">
        <f>Table6[[#This Row],[Value (RM)]]</f>
        <v>50000</v>
      </c>
      <c r="V149" s="92"/>
      <c r="W149" s="3" t="s">
        <v>322</v>
      </c>
      <c r="X149" s="146" t="s">
        <v>28</v>
      </c>
    </row>
    <row r="150" spans="1:24">
      <c r="A150" s="73" t="s">
        <v>324</v>
      </c>
      <c r="B150" s="99" t="s">
        <v>33</v>
      </c>
      <c r="C150" s="86" t="s">
        <v>55</v>
      </c>
      <c r="D150" s="1" t="s">
        <v>302</v>
      </c>
      <c r="E150" s="75">
        <v>0.01</v>
      </c>
      <c r="F150" s="100">
        <v>700000</v>
      </c>
      <c r="G150" s="103">
        <f t="shared" si="18"/>
        <v>7000</v>
      </c>
      <c r="H150" s="101"/>
      <c r="I150" s="120" t="str">
        <f ca="1" t="shared" si="16"/>
        <v>11/14/2025</v>
      </c>
      <c r="J150" s="132"/>
      <c r="K150" s="76" t="s">
        <v>28</v>
      </c>
      <c r="L150" s="103" t="s">
        <v>35</v>
      </c>
      <c r="M150" s="122">
        <f t="shared" si="17"/>
        <v>8400</v>
      </c>
      <c r="N150" s="109">
        <f t="shared" si="13"/>
        <v>83.3333333333333</v>
      </c>
      <c r="O150" s="79" t="s">
        <v>319</v>
      </c>
      <c r="P150" s="49"/>
      <c r="Q150" s="135"/>
      <c r="R150" s="135">
        <f>F150</f>
        <v>700000</v>
      </c>
      <c r="S150" s="135"/>
      <c r="T150" s="135"/>
      <c r="U150" s="103"/>
      <c r="V150" s="135"/>
      <c r="W150" s="3" t="s">
        <v>325</v>
      </c>
      <c r="X150" s="146" t="s">
        <v>28</v>
      </c>
    </row>
    <row r="151" spans="1:24">
      <c r="A151" s="73" t="s">
        <v>326</v>
      </c>
      <c r="B151" s="99" t="s">
        <v>25</v>
      </c>
      <c r="C151" s="86" t="s">
        <v>327</v>
      </c>
      <c r="D151" s="1" t="s">
        <v>27</v>
      </c>
      <c r="E151" s="75">
        <v>1</v>
      </c>
      <c r="F151" s="87">
        <v>6000</v>
      </c>
      <c r="G151" s="88">
        <f t="shared" si="18"/>
        <v>6000</v>
      </c>
      <c r="H151" s="89"/>
      <c r="I151" s="120" t="str">
        <f ca="1" t="shared" si="16"/>
        <v>7/17/2025</v>
      </c>
      <c r="J151" s="89"/>
      <c r="K151" s="76" t="s">
        <v>28</v>
      </c>
      <c r="L151" s="88" t="s">
        <v>68</v>
      </c>
      <c r="M151" s="122">
        <v>1</v>
      </c>
      <c r="N151" s="109">
        <f t="shared" si="13"/>
        <v>6000</v>
      </c>
      <c r="O151" s="79" t="s">
        <v>319</v>
      </c>
      <c r="P151" s="92"/>
      <c r="Q151" s="92"/>
      <c r="R151" s="92"/>
      <c r="S151" s="92"/>
      <c r="T151" s="92"/>
      <c r="U151" s="145">
        <f>F151</f>
        <v>6000</v>
      </c>
      <c r="V151" s="92"/>
      <c r="W151" s="3" t="s">
        <v>328</v>
      </c>
      <c r="X151" s="146" t="s">
        <v>28</v>
      </c>
    </row>
    <row r="152" spans="1:24">
      <c r="A152" s="73" t="s">
        <v>329</v>
      </c>
      <c r="B152" s="74" t="s">
        <v>25</v>
      </c>
      <c r="C152" s="86" t="s">
        <v>330</v>
      </c>
      <c r="D152" s="1" t="s">
        <v>302</v>
      </c>
      <c r="E152" s="75">
        <v>0.01</v>
      </c>
      <c r="F152" s="100">
        <v>6500</v>
      </c>
      <c r="G152" s="103">
        <f t="shared" si="18"/>
        <v>65</v>
      </c>
      <c r="H152" s="101"/>
      <c r="I152" s="120" t="str">
        <f ca="1" t="shared" si="16"/>
        <v>11/18/2025</v>
      </c>
      <c r="J152" s="132"/>
      <c r="K152" s="76" t="s">
        <v>28</v>
      </c>
      <c r="L152" s="103" t="s">
        <v>38</v>
      </c>
      <c r="M152" s="133">
        <f>1.2*2.4</f>
        <v>2.88</v>
      </c>
      <c r="N152" s="138">
        <f t="shared" si="13"/>
        <v>2256.94444444444</v>
      </c>
      <c r="O152" s="79" t="s">
        <v>319</v>
      </c>
      <c r="P152" s="135"/>
      <c r="Q152" s="135"/>
      <c r="R152" s="135">
        <f>F152</f>
        <v>6500</v>
      </c>
      <c r="S152" s="135"/>
      <c r="T152" s="135"/>
      <c r="U152" s="103"/>
      <c r="V152" s="135"/>
      <c r="W152" s="3" t="s">
        <v>331</v>
      </c>
      <c r="X152" s="146" t="s">
        <v>28</v>
      </c>
    </row>
    <row r="153" spans="1:24">
      <c r="A153" s="73" t="s">
        <v>332</v>
      </c>
      <c r="B153" s="74" t="s">
        <v>33</v>
      </c>
      <c r="C153" s="86" t="s">
        <v>164</v>
      </c>
      <c r="D153" s="1" t="s">
        <v>27</v>
      </c>
      <c r="E153" s="75">
        <v>0.02</v>
      </c>
      <c r="F153" s="87">
        <v>114000</v>
      </c>
      <c r="G153" s="88">
        <f t="shared" si="18"/>
        <v>2280</v>
      </c>
      <c r="H153" s="89"/>
      <c r="I153" s="120" t="str">
        <f ca="1" t="shared" si="16"/>
        <v>12/30/2025</v>
      </c>
      <c r="J153" s="89"/>
      <c r="K153" s="76" t="s">
        <v>28</v>
      </c>
      <c r="L153" s="88" t="s">
        <v>52</v>
      </c>
      <c r="M153" s="133">
        <f>1.2*2.4</f>
        <v>2.88</v>
      </c>
      <c r="N153" s="109">
        <f t="shared" si="13"/>
        <v>39583.3333333333</v>
      </c>
      <c r="O153" s="79" t="s">
        <v>319</v>
      </c>
      <c r="P153" s="92"/>
      <c r="Q153" s="92"/>
      <c r="R153" s="92">
        <f>F153</f>
        <v>114000</v>
      </c>
      <c r="S153" s="92"/>
      <c r="T153" s="92"/>
      <c r="U153" s="88"/>
      <c r="V153" s="92"/>
      <c r="W153" s="3" t="s">
        <v>333</v>
      </c>
      <c r="X153" s="146" t="s">
        <v>28</v>
      </c>
    </row>
    <row r="154" spans="1:24">
      <c r="A154" s="73" t="s">
        <v>334</v>
      </c>
      <c r="B154" s="74" t="s">
        <v>45</v>
      </c>
      <c r="C154" s="86" t="s">
        <v>192</v>
      </c>
      <c r="D154" s="1" t="s">
        <v>302</v>
      </c>
      <c r="E154" s="75">
        <v>0.01</v>
      </c>
      <c r="F154" s="100">
        <v>220000</v>
      </c>
      <c r="G154" s="103">
        <f t="shared" si="18"/>
        <v>2200</v>
      </c>
      <c r="H154" s="101"/>
      <c r="I154" s="120" t="str">
        <f ca="1" t="shared" si="16"/>
        <v>8/16/2025</v>
      </c>
      <c r="J154" s="132"/>
      <c r="K154" s="76" t="s">
        <v>28</v>
      </c>
      <c r="L154" s="103"/>
      <c r="M154" s="133">
        <f>1.2*2.4</f>
        <v>2.88</v>
      </c>
      <c r="N154" s="138">
        <f t="shared" si="13"/>
        <v>76388.8888888889</v>
      </c>
      <c r="O154" s="79" t="s">
        <v>319</v>
      </c>
      <c r="P154" s="135"/>
      <c r="Q154" s="135"/>
      <c r="R154" s="135">
        <f>F154</f>
        <v>220000</v>
      </c>
      <c r="S154" s="135"/>
      <c r="T154" s="135"/>
      <c r="U154" s="103"/>
      <c r="V154" s="135"/>
      <c r="W154" s="3" t="s">
        <v>335</v>
      </c>
      <c r="X154" s="146" t="s">
        <v>28</v>
      </c>
    </row>
    <row r="155" spans="1:24">
      <c r="A155" s="73" t="s">
        <v>326</v>
      </c>
      <c r="B155" s="74" t="s">
        <v>25</v>
      </c>
      <c r="C155" s="86" t="s">
        <v>336</v>
      </c>
      <c r="D155" s="1" t="s">
        <v>27</v>
      </c>
      <c r="E155" s="75">
        <v>1</v>
      </c>
      <c r="F155" s="100">
        <v>6000</v>
      </c>
      <c r="G155" s="103">
        <f t="shared" si="18"/>
        <v>6000</v>
      </c>
      <c r="H155" s="101"/>
      <c r="I155" s="120" t="str">
        <f ca="1" t="shared" si="16"/>
        <v>10/30/2025</v>
      </c>
      <c r="J155" s="132"/>
      <c r="K155" s="76" t="s">
        <v>28</v>
      </c>
      <c r="L155" s="103"/>
      <c r="M155" s="133">
        <f>1.2*2.4</f>
        <v>2.88</v>
      </c>
      <c r="N155" s="138">
        <f t="shared" si="13"/>
        <v>2083.33333333333</v>
      </c>
      <c r="O155" s="79" t="s">
        <v>319</v>
      </c>
      <c r="P155" s="135"/>
      <c r="Q155" s="135"/>
      <c r="R155" s="135"/>
      <c r="S155" s="135"/>
      <c r="T155" s="135"/>
      <c r="U155" s="103">
        <f>Table6[[#This Row],[Value (RM)]]</f>
        <v>6000</v>
      </c>
      <c r="V155" s="135"/>
      <c r="W155" s="3" t="s">
        <v>337</v>
      </c>
      <c r="X155" s="146" t="s">
        <v>28</v>
      </c>
    </row>
    <row r="156" spans="1:24">
      <c r="A156" s="73" t="s">
        <v>338</v>
      </c>
      <c r="B156" s="74" t="s">
        <v>33</v>
      </c>
      <c r="C156" s="86" t="s">
        <v>124</v>
      </c>
      <c r="D156" s="1" t="s">
        <v>302</v>
      </c>
      <c r="E156" s="75">
        <v>0.01</v>
      </c>
      <c r="F156" s="100">
        <v>1600000</v>
      </c>
      <c r="G156" s="103">
        <f t="shared" si="18"/>
        <v>16000</v>
      </c>
      <c r="H156" s="101"/>
      <c r="I156" s="120" t="str">
        <f ca="1" t="shared" si="16"/>
        <v>11/23/2025</v>
      </c>
      <c r="J156" s="132"/>
      <c r="K156" s="76" t="s">
        <v>28</v>
      </c>
      <c r="L156" s="103" t="s">
        <v>38</v>
      </c>
      <c r="M156" s="78">
        <v>1350</v>
      </c>
      <c r="N156" s="138">
        <f t="shared" si="13"/>
        <v>1185.18518518519</v>
      </c>
      <c r="O156" s="79" t="s">
        <v>319</v>
      </c>
      <c r="P156" s="135"/>
      <c r="Q156" s="135"/>
      <c r="R156" s="135">
        <f>F156</f>
        <v>1600000</v>
      </c>
      <c r="S156" s="135"/>
      <c r="T156" s="135"/>
      <c r="U156" s="103"/>
      <c r="V156" s="135"/>
      <c r="W156" s="3" t="s">
        <v>339</v>
      </c>
      <c r="X156" s="146" t="s">
        <v>28</v>
      </c>
    </row>
    <row r="157" spans="1:24">
      <c r="A157" s="73" t="s">
        <v>340</v>
      </c>
      <c r="B157" s="74" t="s">
        <v>33</v>
      </c>
      <c r="C157" s="86" t="s">
        <v>91</v>
      </c>
      <c r="D157" s="86" t="s">
        <v>341</v>
      </c>
      <c r="E157" s="75">
        <v>0.01</v>
      </c>
      <c r="F157" s="87">
        <v>1000000</v>
      </c>
      <c r="G157" s="88">
        <f>E157*F157</f>
        <v>10000</v>
      </c>
      <c r="H157" s="89"/>
      <c r="I157" s="120" t="str">
        <f ca="1" t="shared" si="16"/>
        <v>1/6/2025</v>
      </c>
      <c r="J157" s="89"/>
      <c r="K157" s="76" t="s">
        <v>28</v>
      </c>
      <c r="L157" s="88" t="s">
        <v>35</v>
      </c>
      <c r="M157" s="78">
        <v>100</v>
      </c>
      <c r="N157" s="91">
        <f t="shared" si="13"/>
        <v>10000</v>
      </c>
      <c r="O157" s="79" t="s">
        <v>319</v>
      </c>
      <c r="P157" s="92"/>
      <c r="Q157" s="92"/>
      <c r="R157" s="92"/>
      <c r="S157" s="92"/>
      <c r="T157" s="92"/>
      <c r="U157" s="145">
        <f>F157</f>
        <v>1000000</v>
      </c>
      <c r="V157" s="92"/>
      <c r="W157" s="3" t="s">
        <v>342</v>
      </c>
      <c r="X157" s="146" t="s">
        <v>28</v>
      </c>
    </row>
    <row r="158" spans="1:24">
      <c r="A158" s="169" t="s">
        <v>343</v>
      </c>
      <c r="B158" s="74" t="s">
        <v>45</v>
      </c>
      <c r="C158" s="86" t="s">
        <v>102</v>
      </c>
      <c r="D158" s="1" t="s">
        <v>302</v>
      </c>
      <c r="E158" s="75">
        <v>0.01</v>
      </c>
      <c r="F158" s="87">
        <v>400000</v>
      </c>
      <c r="G158" s="88">
        <f>F158*E158</f>
        <v>4000</v>
      </c>
      <c r="H158" s="89"/>
      <c r="I158" s="120" t="str">
        <f ca="1" t="shared" si="16"/>
        <v>4/26/2025</v>
      </c>
      <c r="J158" s="89"/>
      <c r="K158" s="76" t="s">
        <v>28</v>
      </c>
      <c r="L158" s="88" t="s">
        <v>38</v>
      </c>
      <c r="M158" s="122">
        <f>8*16</f>
        <v>128</v>
      </c>
      <c r="N158" s="109">
        <f t="shared" si="13"/>
        <v>3125</v>
      </c>
      <c r="O158" s="79" t="s">
        <v>319</v>
      </c>
      <c r="P158" s="92"/>
      <c r="Q158" s="92"/>
      <c r="R158" s="92">
        <f>F158</f>
        <v>400000</v>
      </c>
      <c r="S158" s="92"/>
      <c r="T158" s="92"/>
      <c r="U158" s="92"/>
      <c r="V158" s="92"/>
      <c r="W158" s="3" t="s">
        <v>344</v>
      </c>
      <c r="X158" s="146" t="s">
        <v>28</v>
      </c>
    </row>
    <row r="159" spans="1:24">
      <c r="A159" s="169" t="s">
        <v>345</v>
      </c>
      <c r="B159" s="74" t="s">
        <v>45</v>
      </c>
      <c r="C159" s="86" t="s">
        <v>102</v>
      </c>
      <c r="D159" s="1" t="s">
        <v>302</v>
      </c>
      <c r="E159" s="75">
        <v>0.01</v>
      </c>
      <c r="F159" s="87">
        <v>400000</v>
      </c>
      <c r="G159" s="88">
        <f>F159*E159</f>
        <v>4000</v>
      </c>
      <c r="H159" s="89"/>
      <c r="I159" s="120" t="str">
        <f ca="1" t="shared" si="16"/>
        <v>12/24/2025</v>
      </c>
      <c r="J159" s="89"/>
      <c r="K159" s="76" t="s">
        <v>28</v>
      </c>
      <c r="L159" s="88" t="s">
        <v>38</v>
      </c>
      <c r="M159" s="122">
        <f>8*18</f>
        <v>144</v>
      </c>
      <c r="N159" s="109">
        <f t="shared" si="13"/>
        <v>2777.77777777778</v>
      </c>
      <c r="O159" s="79" t="s">
        <v>319</v>
      </c>
      <c r="P159" s="92"/>
      <c r="Q159" s="92"/>
      <c r="R159" s="92">
        <f>F159</f>
        <v>400000</v>
      </c>
      <c r="S159" s="92"/>
      <c r="T159" s="92"/>
      <c r="U159" s="92"/>
      <c r="V159" s="92"/>
      <c r="W159" s="3" t="s">
        <v>346</v>
      </c>
      <c r="X159" s="146" t="s">
        <v>28</v>
      </c>
    </row>
    <row r="160" ht="43.2" spans="1:24">
      <c r="A160" s="73" t="s">
        <v>347</v>
      </c>
      <c r="B160" s="74" t="s">
        <v>33</v>
      </c>
      <c r="C160" s="86" t="s">
        <v>122</v>
      </c>
      <c r="D160" s="1" t="s">
        <v>302</v>
      </c>
      <c r="E160" s="75">
        <v>0.01</v>
      </c>
      <c r="F160" s="87">
        <v>3000000</v>
      </c>
      <c r="G160" s="88">
        <f>E160*F160</f>
        <v>30000</v>
      </c>
      <c r="H160" s="89"/>
      <c r="I160" s="120" t="str">
        <f ca="1" t="shared" si="16"/>
        <v>4/21/2025</v>
      </c>
      <c r="J160" s="89"/>
      <c r="K160" s="76" t="s">
        <v>28</v>
      </c>
      <c r="L160" s="88" t="s">
        <v>38</v>
      </c>
      <c r="M160" s="122">
        <f>12*126</f>
        <v>1512</v>
      </c>
      <c r="N160" s="109">
        <f t="shared" si="13"/>
        <v>1984.12698412698</v>
      </c>
      <c r="O160" s="79" t="s">
        <v>319</v>
      </c>
      <c r="P160" s="3"/>
      <c r="Q160" s="3"/>
      <c r="R160" s="92">
        <f>F160</f>
        <v>3000000</v>
      </c>
      <c r="S160" s="92"/>
      <c r="T160" s="92"/>
      <c r="U160" s="88"/>
      <c r="V160" s="92"/>
      <c r="W160" s="3" t="s">
        <v>348</v>
      </c>
      <c r="X160" s="146" t="s">
        <v>28</v>
      </c>
    </row>
    <row r="161" spans="1:24">
      <c r="A161" s="73" t="s">
        <v>349</v>
      </c>
      <c r="B161" s="74" t="s">
        <v>33</v>
      </c>
      <c r="C161" s="86" t="s">
        <v>122</v>
      </c>
      <c r="D161" s="1" t="s">
        <v>302</v>
      </c>
      <c r="E161" s="75">
        <v>0.01</v>
      </c>
      <c r="F161" s="87">
        <v>500000</v>
      </c>
      <c r="G161" s="88">
        <f t="shared" ref="G161:G208" si="19">F161*E161</f>
        <v>5000</v>
      </c>
      <c r="H161" s="89"/>
      <c r="I161" s="120" t="str">
        <f ca="1" t="shared" si="16"/>
        <v>5/12/2025</v>
      </c>
      <c r="J161" s="89"/>
      <c r="K161" s="76" t="s">
        <v>28</v>
      </c>
      <c r="L161" s="88" t="s">
        <v>303</v>
      </c>
      <c r="M161" s="122">
        <v>1</v>
      </c>
      <c r="N161" s="109">
        <f t="shared" si="13"/>
        <v>500000</v>
      </c>
      <c r="O161" s="79" t="s">
        <v>319</v>
      </c>
      <c r="P161" s="92"/>
      <c r="Q161" s="92"/>
      <c r="R161" s="92"/>
      <c r="S161" s="92"/>
      <c r="T161" s="92"/>
      <c r="U161" s="145">
        <f>F161</f>
        <v>500000</v>
      </c>
      <c r="V161" s="92"/>
      <c r="W161" s="3" t="s">
        <v>350</v>
      </c>
      <c r="X161" s="146" t="s">
        <v>28</v>
      </c>
    </row>
    <row r="162" spans="1:24">
      <c r="A162" s="73" t="s">
        <v>349</v>
      </c>
      <c r="B162" s="74" t="s">
        <v>33</v>
      </c>
      <c r="C162" s="86" t="s">
        <v>126</v>
      </c>
      <c r="D162" s="1" t="s">
        <v>302</v>
      </c>
      <c r="E162" s="75">
        <v>0.01</v>
      </c>
      <c r="F162" s="87">
        <v>500000</v>
      </c>
      <c r="G162" s="88">
        <f t="shared" si="19"/>
        <v>5000</v>
      </c>
      <c r="H162" s="89"/>
      <c r="I162" s="120" t="str">
        <f ca="1" t="shared" si="16"/>
        <v>1/2/2025</v>
      </c>
      <c r="J162" s="89"/>
      <c r="K162" s="76" t="s">
        <v>28</v>
      </c>
      <c r="L162" s="88" t="s">
        <v>303</v>
      </c>
      <c r="M162" s="122">
        <v>750</v>
      </c>
      <c r="N162" s="109">
        <f t="shared" si="13"/>
        <v>666.666666666667</v>
      </c>
      <c r="O162" s="79" t="s">
        <v>319</v>
      </c>
      <c r="P162" s="92"/>
      <c r="Q162" s="92"/>
      <c r="R162" s="92"/>
      <c r="S162" s="92"/>
      <c r="T162" s="92"/>
      <c r="U162" s="145">
        <f>F162</f>
        <v>500000</v>
      </c>
      <c r="V162" s="92"/>
      <c r="W162" s="3" t="s">
        <v>351</v>
      </c>
      <c r="X162" s="146" t="s">
        <v>28</v>
      </c>
    </row>
    <row r="163" s="2" customFormat="1" ht="14.4" spans="1:24">
      <c r="A163" s="73" t="s">
        <v>352</v>
      </c>
      <c r="B163" s="74" t="s">
        <v>25</v>
      </c>
      <c r="C163" s="86" t="s">
        <v>180</v>
      </c>
      <c r="D163" s="1" t="s">
        <v>302</v>
      </c>
      <c r="E163" s="151">
        <v>0.01</v>
      </c>
      <c r="F163" s="87">
        <v>260000</v>
      </c>
      <c r="G163" s="88">
        <f t="shared" si="19"/>
        <v>2600</v>
      </c>
      <c r="H163" s="101"/>
      <c r="I163" s="120" t="str">
        <f ca="1" t="shared" si="16"/>
        <v>11/27/2025</v>
      </c>
      <c r="J163" s="132"/>
      <c r="K163" s="76" t="s">
        <v>28</v>
      </c>
      <c r="L163" s="103" t="s">
        <v>38</v>
      </c>
      <c r="M163" s="133">
        <f>9*8.5</f>
        <v>76.5</v>
      </c>
      <c r="N163" s="138">
        <f t="shared" si="13"/>
        <v>3398.69281045752</v>
      </c>
      <c r="O163" s="79" t="s">
        <v>319</v>
      </c>
      <c r="P163" s="135"/>
      <c r="Q163" s="135"/>
      <c r="R163" s="103">
        <f>Table6[[#This Row],[Value (RM)]]</f>
        <v>260000</v>
      </c>
      <c r="S163" s="135"/>
      <c r="T163" s="135"/>
      <c r="U163" s="162"/>
      <c r="V163" s="135"/>
      <c r="W163" s="3" t="s">
        <v>353</v>
      </c>
      <c r="X163" s="146" t="s">
        <v>28</v>
      </c>
    </row>
    <row r="164" spans="1:24">
      <c r="A164" s="73" t="s">
        <v>354</v>
      </c>
      <c r="B164" s="74" t="s">
        <v>33</v>
      </c>
      <c r="C164" s="1" t="s">
        <v>55</v>
      </c>
      <c r="D164" s="1" t="s">
        <v>302</v>
      </c>
      <c r="E164" s="75">
        <v>0.01</v>
      </c>
      <c r="F164" s="51">
        <v>1254000</v>
      </c>
      <c r="G164" s="88">
        <f t="shared" si="19"/>
        <v>12540</v>
      </c>
      <c r="I164" s="120" t="str">
        <f ca="1" t="shared" si="16"/>
        <v>6/27/2025</v>
      </c>
      <c r="K164" s="76" t="s">
        <v>28</v>
      </c>
      <c r="M164" s="133">
        <f>9*8.5</f>
        <v>76.5</v>
      </c>
      <c r="N164" s="142">
        <f t="shared" si="13"/>
        <v>16392.1568627451</v>
      </c>
      <c r="O164" s="79" t="s">
        <v>319</v>
      </c>
      <c r="U164" s="162"/>
      <c r="V164" s="43">
        <f>F164</f>
        <v>1254000</v>
      </c>
      <c r="W164" s="149" t="s">
        <v>43</v>
      </c>
      <c r="X164" s="146" t="s">
        <v>28</v>
      </c>
    </row>
    <row r="165" spans="1:24">
      <c r="A165" s="73" t="s">
        <v>355</v>
      </c>
      <c r="B165" s="74" t="s">
        <v>33</v>
      </c>
      <c r="C165" s="1" t="s">
        <v>126</v>
      </c>
      <c r="D165" s="1" t="s">
        <v>302</v>
      </c>
      <c r="E165" s="75">
        <v>0.01</v>
      </c>
      <c r="F165" s="51">
        <v>50000</v>
      </c>
      <c r="G165" s="88">
        <f t="shared" si="19"/>
        <v>500</v>
      </c>
      <c r="I165" s="120" t="str">
        <f ca="1" t="shared" si="16"/>
        <v>9/9/2025</v>
      </c>
      <c r="K165" s="76" t="s">
        <v>28</v>
      </c>
      <c r="M165" s="133">
        <f>9*8.5</f>
        <v>76.5</v>
      </c>
      <c r="N165" s="142">
        <f t="shared" si="13"/>
        <v>653.59477124183</v>
      </c>
      <c r="O165" s="79" t="s">
        <v>319</v>
      </c>
      <c r="U165" s="49">
        <f>F165</f>
        <v>50000</v>
      </c>
      <c r="V165" s="49"/>
      <c r="W165" s="149" t="s">
        <v>43</v>
      </c>
      <c r="X165" s="146" t="s">
        <v>28</v>
      </c>
    </row>
    <row r="166" spans="1:24">
      <c r="A166" s="73" t="s">
        <v>356</v>
      </c>
      <c r="B166" s="74" t="s">
        <v>45</v>
      </c>
      <c r="C166" s="1" t="s">
        <v>102</v>
      </c>
      <c r="D166" s="1" t="s">
        <v>27</v>
      </c>
      <c r="E166" s="75">
        <v>0.02</v>
      </c>
      <c r="F166" s="51">
        <f>34000*146200/34000</f>
        <v>146200</v>
      </c>
      <c r="G166" s="88">
        <f t="shared" si="19"/>
        <v>2924</v>
      </c>
      <c r="I166" s="120" t="str">
        <f ca="1" t="shared" si="16"/>
        <v>9/29/2025</v>
      </c>
      <c r="K166" s="76" t="s">
        <v>28</v>
      </c>
      <c r="L166" s="1" t="s">
        <v>11</v>
      </c>
      <c r="M166" s="78">
        <v>1</v>
      </c>
      <c r="N166" s="142">
        <f t="shared" si="13"/>
        <v>146200</v>
      </c>
      <c r="O166" s="79" t="s">
        <v>319</v>
      </c>
      <c r="R166" s="49">
        <f>F166</f>
        <v>146200</v>
      </c>
      <c r="V166" s="49"/>
      <c r="W166" s="149" t="s">
        <v>43</v>
      </c>
      <c r="X166" s="146" t="s">
        <v>28</v>
      </c>
    </row>
    <row r="167" spans="1:24">
      <c r="A167" s="73" t="s">
        <v>357</v>
      </c>
      <c r="B167" s="74" t="s">
        <v>45</v>
      </c>
      <c r="C167" s="1" t="s">
        <v>102</v>
      </c>
      <c r="D167" s="1" t="s">
        <v>341</v>
      </c>
      <c r="E167" s="75">
        <v>0.008</v>
      </c>
      <c r="F167" s="51">
        <v>200000</v>
      </c>
      <c r="G167" s="88">
        <f t="shared" si="19"/>
        <v>1600</v>
      </c>
      <c r="I167" s="120" t="str">
        <f ca="1" t="shared" si="16"/>
        <v>2/23/2025</v>
      </c>
      <c r="K167" s="76" t="s">
        <v>28</v>
      </c>
      <c r="N167" s="142"/>
      <c r="O167" s="79" t="s">
        <v>358</v>
      </c>
      <c r="S167" s="5">
        <f>F167</f>
        <v>200000</v>
      </c>
      <c r="V167" s="49"/>
      <c r="W167" s="149" t="s">
        <v>43</v>
      </c>
      <c r="X167" s="146" t="s">
        <v>28</v>
      </c>
    </row>
    <row r="168" spans="1:24">
      <c r="A168" s="73" t="s">
        <v>359</v>
      </c>
      <c r="B168" s="74" t="s">
        <v>33</v>
      </c>
      <c r="C168" s="1" t="s">
        <v>360</v>
      </c>
      <c r="D168" s="1" t="s">
        <v>302</v>
      </c>
      <c r="E168" s="75">
        <v>0.01</v>
      </c>
      <c r="F168" s="51">
        <v>17000000</v>
      </c>
      <c r="G168" s="88">
        <f t="shared" si="19"/>
        <v>170000</v>
      </c>
      <c r="I168" s="120" t="str">
        <f ca="1" t="shared" si="16"/>
        <v>1/20/2025</v>
      </c>
      <c r="K168" s="76" t="s">
        <v>28</v>
      </c>
      <c r="L168" s="1" t="s">
        <v>361</v>
      </c>
      <c r="M168" s="78">
        <f>30000*8</f>
        <v>240000</v>
      </c>
      <c r="N168" s="142">
        <f t="shared" ref="N168:N208" si="20">F168/M168</f>
        <v>70.8333333333333</v>
      </c>
      <c r="O168" s="79" t="s">
        <v>358</v>
      </c>
      <c r="R168" s="5">
        <f>Table6[[#This Row],[Value (RM)]]</f>
        <v>17000000</v>
      </c>
      <c r="V168" s="49"/>
      <c r="W168" s="149" t="s">
        <v>43</v>
      </c>
      <c r="X168" s="146" t="s">
        <v>28</v>
      </c>
    </row>
    <row r="169" spans="1:24">
      <c r="A169" s="73" t="s">
        <v>362</v>
      </c>
      <c r="B169" s="74" t="s">
        <v>25</v>
      </c>
      <c r="C169" s="1" t="s">
        <v>131</v>
      </c>
      <c r="D169" s="1" t="s">
        <v>302</v>
      </c>
      <c r="E169" s="75">
        <v>0.01</v>
      </c>
      <c r="F169" s="51">
        <v>60000</v>
      </c>
      <c r="G169" s="88">
        <f t="shared" si="19"/>
        <v>600</v>
      </c>
      <c r="I169" s="120" t="str">
        <f ca="1" t="shared" si="16"/>
        <v>2/27/2025</v>
      </c>
      <c r="K169" s="76" t="s">
        <v>28</v>
      </c>
      <c r="L169" s="1" t="s">
        <v>59</v>
      </c>
      <c r="M169" s="78">
        <v>1</v>
      </c>
      <c r="N169" s="142">
        <f t="shared" si="20"/>
        <v>60000</v>
      </c>
      <c r="O169" s="79" t="s">
        <v>358</v>
      </c>
      <c r="V169" s="49"/>
      <c r="W169" s="149" t="s">
        <v>43</v>
      </c>
      <c r="X169" s="146" t="s">
        <v>28</v>
      </c>
    </row>
    <row r="170" spans="1:24">
      <c r="A170" s="73" t="s">
        <v>363</v>
      </c>
      <c r="B170" s="74" t="s">
        <v>45</v>
      </c>
      <c r="C170" s="86" t="s">
        <v>102</v>
      </c>
      <c r="D170" s="1" t="s">
        <v>302</v>
      </c>
      <c r="E170" s="151">
        <v>0.01</v>
      </c>
      <c r="F170" s="87">
        <v>300000</v>
      </c>
      <c r="G170" s="88">
        <f t="shared" si="19"/>
        <v>3000</v>
      </c>
      <c r="H170" s="101"/>
      <c r="I170" s="120" t="str">
        <f ca="1" t="shared" si="16"/>
        <v>4/15/2025</v>
      </c>
      <c r="J170" s="132"/>
      <c r="K170" s="76" t="s">
        <v>28</v>
      </c>
      <c r="L170" s="103" t="s">
        <v>59</v>
      </c>
      <c r="M170" s="133">
        <v>1</v>
      </c>
      <c r="N170" s="138">
        <f t="shared" si="20"/>
        <v>300000</v>
      </c>
      <c r="O170" s="79" t="s">
        <v>358</v>
      </c>
      <c r="P170" s="135"/>
      <c r="Q170" s="135"/>
      <c r="R170" s="135">
        <f>F170</f>
        <v>300000</v>
      </c>
      <c r="S170" s="135"/>
      <c r="T170" s="135"/>
      <c r="U170" s="103"/>
      <c r="V170" s="135"/>
      <c r="W170" s="149" t="s">
        <v>43</v>
      </c>
      <c r="X170" s="146" t="s">
        <v>28</v>
      </c>
    </row>
    <row r="171" spans="1:24">
      <c r="A171" s="73" t="s">
        <v>364</v>
      </c>
      <c r="B171" s="99" t="s">
        <v>25</v>
      </c>
      <c r="C171" s="86" t="s">
        <v>131</v>
      </c>
      <c r="D171" s="1" t="s">
        <v>302</v>
      </c>
      <c r="E171" s="75">
        <v>0.01</v>
      </c>
      <c r="F171" s="100">
        <v>50000</v>
      </c>
      <c r="G171" s="88">
        <f t="shared" si="19"/>
        <v>500</v>
      </c>
      <c r="H171" s="101"/>
      <c r="I171" s="120" t="str">
        <f ca="1" t="shared" si="16"/>
        <v>8/18/2025</v>
      </c>
      <c r="J171" s="132"/>
      <c r="K171" s="76" t="s">
        <v>28</v>
      </c>
      <c r="L171" s="103" t="s">
        <v>38</v>
      </c>
      <c r="M171" s="133">
        <v>1</v>
      </c>
      <c r="N171" s="109">
        <f t="shared" si="20"/>
        <v>50000</v>
      </c>
      <c r="O171" s="79" t="s">
        <v>358</v>
      </c>
      <c r="P171" s="135"/>
      <c r="Q171" s="135"/>
      <c r="R171" s="135">
        <f>Table6[[#This Row],[Value (RM)]]</f>
        <v>50000</v>
      </c>
      <c r="S171" s="135"/>
      <c r="T171" s="135"/>
      <c r="U171" s="103"/>
      <c r="V171" s="135"/>
      <c r="W171" s="149" t="s">
        <v>43</v>
      </c>
      <c r="X171" s="146" t="s">
        <v>28</v>
      </c>
    </row>
    <row r="172" spans="1:24">
      <c r="A172" s="73" t="s">
        <v>365</v>
      </c>
      <c r="B172" s="74" t="s">
        <v>45</v>
      </c>
      <c r="C172" s="86" t="s">
        <v>46</v>
      </c>
      <c r="D172" s="1" t="s">
        <v>341</v>
      </c>
      <c r="E172" s="75">
        <v>0.009</v>
      </c>
      <c r="F172" s="87">
        <v>1000000</v>
      </c>
      <c r="G172" s="88">
        <f t="shared" si="19"/>
        <v>9000</v>
      </c>
      <c r="H172" s="89"/>
      <c r="I172" s="120" t="str">
        <f ca="1" t="shared" si="16"/>
        <v>9/29/2025</v>
      </c>
      <c r="J172" s="89"/>
      <c r="K172" s="76" t="s">
        <v>28</v>
      </c>
      <c r="L172" s="88" t="s">
        <v>38</v>
      </c>
      <c r="M172" s="133">
        <v>1</v>
      </c>
      <c r="N172" s="109">
        <f t="shared" si="20"/>
        <v>1000000</v>
      </c>
      <c r="O172" s="79" t="s">
        <v>358</v>
      </c>
      <c r="P172" s="92"/>
      <c r="Q172" s="92"/>
      <c r="R172" s="92">
        <f>F172</f>
        <v>1000000</v>
      </c>
      <c r="S172" s="92"/>
      <c r="T172" s="92"/>
      <c r="U172" s="88"/>
      <c r="V172" s="92"/>
      <c r="W172" s="149" t="s">
        <v>43</v>
      </c>
      <c r="X172" s="146" t="s">
        <v>28</v>
      </c>
    </row>
    <row r="173" spans="1:24">
      <c r="A173" s="73" t="s">
        <v>366</v>
      </c>
      <c r="B173" s="74" t="s">
        <v>33</v>
      </c>
      <c r="C173" s="86" t="s">
        <v>155</v>
      </c>
      <c r="D173" s="1" t="s">
        <v>341</v>
      </c>
      <c r="E173" s="75">
        <v>0.009</v>
      </c>
      <c r="F173" s="87">
        <v>10000</v>
      </c>
      <c r="G173" s="88">
        <f t="shared" si="19"/>
        <v>90</v>
      </c>
      <c r="H173" s="89"/>
      <c r="I173" s="120" t="str">
        <f ca="1" t="shared" si="16"/>
        <v>11/26/2025</v>
      </c>
      <c r="J173" s="89"/>
      <c r="K173" s="76" t="s">
        <v>28</v>
      </c>
      <c r="L173" s="88" t="s">
        <v>38</v>
      </c>
      <c r="M173" s="133">
        <v>1</v>
      </c>
      <c r="N173" s="109">
        <f t="shared" si="20"/>
        <v>10000</v>
      </c>
      <c r="O173" s="79" t="s">
        <v>358</v>
      </c>
      <c r="P173" s="88">
        <v>10000</v>
      </c>
      <c r="Q173" s="88"/>
      <c r="R173" s="92"/>
      <c r="S173" s="92"/>
      <c r="T173" s="92"/>
      <c r="U173" s="88"/>
      <c r="V173" s="92"/>
      <c r="W173" s="149" t="s">
        <v>43</v>
      </c>
      <c r="X173" s="146" t="s">
        <v>28</v>
      </c>
    </row>
    <row r="174" spans="1:24">
      <c r="A174" s="73" t="s">
        <v>367</v>
      </c>
      <c r="B174" s="74" t="s">
        <v>33</v>
      </c>
      <c r="C174" s="86" t="s">
        <v>155</v>
      </c>
      <c r="D174" s="1" t="s">
        <v>341</v>
      </c>
      <c r="E174" s="75">
        <v>0.009</v>
      </c>
      <c r="F174" s="87">
        <v>100000</v>
      </c>
      <c r="G174" s="88">
        <f t="shared" si="19"/>
        <v>900</v>
      </c>
      <c r="H174" s="89"/>
      <c r="I174" s="120" t="str">
        <f ca="1" t="shared" si="16"/>
        <v>8/17/2025</v>
      </c>
      <c r="J174" s="89"/>
      <c r="K174" s="76" t="s">
        <v>28</v>
      </c>
      <c r="L174" s="88" t="s">
        <v>38</v>
      </c>
      <c r="M174" s="133">
        <v>1</v>
      </c>
      <c r="N174" s="109">
        <f t="shared" si="20"/>
        <v>100000</v>
      </c>
      <c r="O174" s="79" t="s">
        <v>358</v>
      </c>
      <c r="P174" s="88">
        <v>100000</v>
      </c>
      <c r="Q174" s="88"/>
      <c r="R174" s="92"/>
      <c r="S174" s="92"/>
      <c r="T174" s="92"/>
      <c r="U174" s="88"/>
      <c r="V174" s="92"/>
      <c r="W174" s="149" t="s">
        <v>43</v>
      </c>
      <c r="X174" s="146" t="s">
        <v>28</v>
      </c>
    </row>
    <row r="175" spans="1:24">
      <c r="A175" s="73" t="s">
        <v>368</v>
      </c>
      <c r="B175" s="74" t="s">
        <v>33</v>
      </c>
      <c r="C175" s="86" t="s">
        <v>160</v>
      </c>
      <c r="D175" s="1" t="s">
        <v>341</v>
      </c>
      <c r="E175" s="75">
        <v>0.008</v>
      </c>
      <c r="F175" s="87">
        <v>2000000</v>
      </c>
      <c r="G175" s="88">
        <f t="shared" si="19"/>
        <v>16000</v>
      </c>
      <c r="H175" s="89"/>
      <c r="I175" s="120" t="str">
        <f ca="1" t="shared" si="16"/>
        <v>7/4/2025</v>
      </c>
      <c r="J175" s="89"/>
      <c r="K175" s="76" t="s">
        <v>28</v>
      </c>
      <c r="L175" s="88" t="s">
        <v>35</v>
      </c>
      <c r="M175" s="122">
        <v>1300</v>
      </c>
      <c r="N175" s="109">
        <f t="shared" si="20"/>
        <v>1538.46153846154</v>
      </c>
      <c r="O175" s="79" t="s">
        <v>358</v>
      </c>
      <c r="P175" s="92"/>
      <c r="Q175" s="92"/>
      <c r="R175" s="92"/>
      <c r="S175" s="92"/>
      <c r="T175" s="92"/>
      <c r="U175" s="145">
        <f>F175</f>
        <v>2000000</v>
      </c>
      <c r="V175" s="92"/>
      <c r="W175" s="149" t="s">
        <v>43</v>
      </c>
      <c r="X175" s="146" t="s">
        <v>28</v>
      </c>
    </row>
    <row r="176" spans="1:24">
      <c r="A176" s="73" t="s">
        <v>369</v>
      </c>
      <c r="B176" s="74" t="s">
        <v>33</v>
      </c>
      <c r="C176" s="86" t="s">
        <v>160</v>
      </c>
      <c r="D176" s="1" t="s">
        <v>302</v>
      </c>
      <c r="E176" s="75">
        <v>0.018</v>
      </c>
      <c r="F176" s="87">
        <v>9000</v>
      </c>
      <c r="G176" s="88">
        <f t="shared" si="19"/>
        <v>162</v>
      </c>
      <c r="H176" s="89"/>
      <c r="I176" s="120" t="str">
        <f ca="1" t="shared" si="16"/>
        <v>11/25/2025</v>
      </c>
      <c r="J176" s="130"/>
      <c r="K176" s="76" t="s">
        <v>28</v>
      </c>
      <c r="L176" s="88"/>
      <c r="M176" s="122">
        <v>1300</v>
      </c>
      <c r="N176" s="91">
        <f t="shared" si="20"/>
        <v>6.92307692307692</v>
      </c>
      <c r="O176" s="79" t="s">
        <v>358</v>
      </c>
      <c r="P176" s="92"/>
      <c r="Q176" s="92"/>
      <c r="R176" s="92"/>
      <c r="S176" s="92"/>
      <c r="T176" s="92"/>
      <c r="U176" s="88"/>
      <c r="V176" s="92"/>
      <c r="W176" s="149" t="s">
        <v>43</v>
      </c>
      <c r="X176" s="146" t="s">
        <v>28</v>
      </c>
    </row>
    <row r="177" spans="1:24">
      <c r="A177" s="73" t="s">
        <v>370</v>
      </c>
      <c r="B177" s="74" t="s">
        <v>33</v>
      </c>
      <c r="C177" s="86" t="s">
        <v>160</v>
      </c>
      <c r="D177" s="1" t="s">
        <v>27</v>
      </c>
      <c r="E177" s="75">
        <v>0.8</v>
      </c>
      <c r="F177" s="87">
        <v>9000</v>
      </c>
      <c r="G177" s="88">
        <f t="shared" si="19"/>
        <v>7200</v>
      </c>
      <c r="H177" s="89"/>
      <c r="I177" s="120" t="str">
        <f ca="1" t="shared" si="16"/>
        <v>9/3/2025</v>
      </c>
      <c r="J177" s="130"/>
      <c r="K177" s="76" t="s">
        <v>28</v>
      </c>
      <c r="L177" s="88" t="s">
        <v>35</v>
      </c>
      <c r="M177" s="122">
        <v>30</v>
      </c>
      <c r="N177" s="91">
        <f t="shared" si="20"/>
        <v>300</v>
      </c>
      <c r="O177" s="79" t="s">
        <v>358</v>
      </c>
      <c r="P177" s="92"/>
      <c r="Q177" s="92"/>
      <c r="R177" s="92"/>
      <c r="S177" s="92"/>
      <c r="T177" s="92"/>
      <c r="U177" s="88">
        <f>Table6[[#This Row],[Value (RM)]]</f>
        <v>9000</v>
      </c>
      <c r="V177" s="92"/>
      <c r="W177" s="149" t="s">
        <v>43</v>
      </c>
      <c r="X177" s="146" t="s">
        <v>28</v>
      </c>
    </row>
    <row r="178" spans="1:24">
      <c r="A178" s="73" t="s">
        <v>371</v>
      </c>
      <c r="B178" s="74" t="s">
        <v>33</v>
      </c>
      <c r="C178" s="86" t="s">
        <v>160</v>
      </c>
      <c r="D178" s="1" t="s">
        <v>341</v>
      </c>
      <c r="E178" s="75">
        <v>0.008</v>
      </c>
      <c r="F178" s="87">
        <v>400000</v>
      </c>
      <c r="G178" s="88">
        <f t="shared" si="19"/>
        <v>3200</v>
      </c>
      <c r="H178" s="89"/>
      <c r="I178" s="120" t="str">
        <f ca="1" t="shared" si="16"/>
        <v>6/25/2025</v>
      </c>
      <c r="J178" s="89"/>
      <c r="K178" s="76" t="s">
        <v>28</v>
      </c>
      <c r="L178" s="88" t="s">
        <v>35</v>
      </c>
      <c r="M178" s="122">
        <v>300</v>
      </c>
      <c r="N178" s="109">
        <f t="shared" si="20"/>
        <v>1333.33333333333</v>
      </c>
      <c r="O178" s="79" t="s">
        <v>358</v>
      </c>
      <c r="P178" s="92"/>
      <c r="Q178" s="92"/>
      <c r="R178" s="92"/>
      <c r="S178" s="92"/>
      <c r="T178" s="92"/>
      <c r="U178" s="145">
        <f>F178</f>
        <v>400000</v>
      </c>
      <c r="V178" s="92"/>
      <c r="W178" s="149" t="s">
        <v>43</v>
      </c>
      <c r="X178" s="146" t="s">
        <v>28</v>
      </c>
    </row>
    <row r="179" spans="1:24">
      <c r="A179" s="169" t="s">
        <v>372</v>
      </c>
      <c r="B179" s="74" t="s">
        <v>33</v>
      </c>
      <c r="C179" s="86" t="s">
        <v>55</v>
      </c>
      <c r="D179" s="1" t="s">
        <v>341</v>
      </c>
      <c r="E179" s="75">
        <v>0.008</v>
      </c>
      <c r="F179" s="87">
        <v>200000</v>
      </c>
      <c r="G179" s="88">
        <f t="shared" si="19"/>
        <v>1600</v>
      </c>
      <c r="H179" s="89"/>
      <c r="I179" s="120" t="str">
        <f ca="1" t="shared" si="16"/>
        <v>7/1/2025</v>
      </c>
      <c r="J179" s="130"/>
      <c r="K179" s="76" t="s">
        <v>28</v>
      </c>
      <c r="L179" s="88" t="s">
        <v>38</v>
      </c>
      <c r="M179" s="122">
        <f>6*23</f>
        <v>138</v>
      </c>
      <c r="N179" s="109">
        <f t="shared" si="20"/>
        <v>1449.27536231884</v>
      </c>
      <c r="O179" s="79" t="s">
        <v>358</v>
      </c>
      <c r="P179" s="3"/>
      <c r="Q179" s="3"/>
      <c r="R179" s="92">
        <v>380000</v>
      </c>
      <c r="S179" s="92"/>
      <c r="T179" s="92"/>
      <c r="U179" s="88"/>
      <c r="V179" s="92"/>
      <c r="W179" s="149" t="s">
        <v>43</v>
      </c>
      <c r="X179" s="146" t="s">
        <v>28</v>
      </c>
    </row>
    <row r="180" spans="1:24">
      <c r="A180" s="73" t="s">
        <v>373</v>
      </c>
      <c r="B180" s="99" t="s">
        <v>33</v>
      </c>
      <c r="C180" s="86" t="s">
        <v>55</v>
      </c>
      <c r="D180" s="1" t="s">
        <v>341</v>
      </c>
      <c r="E180" s="75">
        <v>0.008</v>
      </c>
      <c r="F180" s="87">
        <v>26000</v>
      </c>
      <c r="G180" s="88">
        <f t="shared" si="19"/>
        <v>208</v>
      </c>
      <c r="H180" s="89"/>
      <c r="I180" s="120" t="str">
        <f ca="1" t="shared" si="16"/>
        <v>7/28/2025</v>
      </c>
      <c r="J180" s="130"/>
      <c r="K180" s="76" t="s">
        <v>28</v>
      </c>
      <c r="L180" s="88" t="s">
        <v>38</v>
      </c>
      <c r="M180" s="122">
        <f>6*23</f>
        <v>138</v>
      </c>
      <c r="N180" s="109">
        <f t="shared" si="20"/>
        <v>188.405797101449</v>
      </c>
      <c r="O180" s="79" t="s">
        <v>358</v>
      </c>
      <c r="P180" s="92"/>
      <c r="Q180" s="92"/>
      <c r="R180" s="92">
        <f>F180</f>
        <v>26000</v>
      </c>
      <c r="S180" s="92"/>
      <c r="T180" s="92"/>
      <c r="U180" s="88"/>
      <c r="V180" s="92"/>
      <c r="W180" s="149" t="s">
        <v>43</v>
      </c>
      <c r="X180" s="146" t="s">
        <v>28</v>
      </c>
    </row>
    <row r="181" spans="1:24">
      <c r="A181" s="73" t="s">
        <v>374</v>
      </c>
      <c r="B181" s="74" t="s">
        <v>33</v>
      </c>
      <c r="C181" s="86" t="s">
        <v>79</v>
      </c>
      <c r="D181" s="107" t="s">
        <v>341</v>
      </c>
      <c r="E181" s="75">
        <v>0.008</v>
      </c>
      <c r="F181" s="87">
        <v>273155</v>
      </c>
      <c r="G181" s="88">
        <f t="shared" si="19"/>
        <v>2185.24</v>
      </c>
      <c r="H181" s="89"/>
      <c r="I181" s="120" t="str">
        <f ca="1" t="shared" si="16"/>
        <v>7/11/2025</v>
      </c>
      <c r="J181" s="89"/>
      <c r="K181" s="76" t="s">
        <v>28</v>
      </c>
      <c r="L181" s="88" t="s">
        <v>35</v>
      </c>
      <c r="M181" s="122">
        <f>6*23</f>
        <v>138</v>
      </c>
      <c r="N181" s="109">
        <f t="shared" si="20"/>
        <v>1979.38405797101</v>
      </c>
      <c r="O181" s="79" t="s">
        <v>358</v>
      </c>
      <c r="P181" s="92"/>
      <c r="Q181" s="92"/>
      <c r="R181" s="92">
        <f>F181</f>
        <v>273155</v>
      </c>
      <c r="S181" s="92"/>
      <c r="T181" s="92"/>
      <c r="U181" s="88"/>
      <c r="V181" s="92"/>
      <c r="W181" s="149" t="s">
        <v>43</v>
      </c>
      <c r="X181" s="146" t="s">
        <v>28</v>
      </c>
    </row>
    <row r="182" spans="1:24">
      <c r="A182" s="73" t="s">
        <v>375</v>
      </c>
      <c r="B182" s="74" t="s">
        <v>33</v>
      </c>
      <c r="C182" s="86" t="s">
        <v>129</v>
      </c>
      <c r="D182" s="1" t="s">
        <v>302</v>
      </c>
      <c r="E182" s="75">
        <v>0.012</v>
      </c>
      <c r="F182" s="100">
        <v>70000</v>
      </c>
      <c r="G182" s="103">
        <f t="shared" si="19"/>
        <v>840</v>
      </c>
      <c r="H182" s="101"/>
      <c r="I182" s="120" t="str">
        <f ca="1" t="shared" si="16"/>
        <v>2/28/2025</v>
      </c>
      <c r="J182" s="132"/>
      <c r="K182" s="76" t="s">
        <v>28</v>
      </c>
      <c r="L182" s="103"/>
      <c r="M182" s="122">
        <f>6*23</f>
        <v>138</v>
      </c>
      <c r="N182" s="138">
        <f t="shared" si="20"/>
        <v>507.246376811594</v>
      </c>
      <c r="O182" s="79" t="s">
        <v>358</v>
      </c>
      <c r="P182" s="135"/>
      <c r="Q182" s="135"/>
      <c r="R182" s="135"/>
      <c r="S182" s="135"/>
      <c r="T182" s="135"/>
      <c r="U182" s="103"/>
      <c r="V182" s="135"/>
      <c r="W182" s="170" t="s">
        <v>376</v>
      </c>
      <c r="X182" s="146" t="s">
        <v>28</v>
      </c>
    </row>
    <row r="183" spans="1:24">
      <c r="A183" s="73" t="s">
        <v>377</v>
      </c>
      <c r="B183" s="74" t="s">
        <v>33</v>
      </c>
      <c r="C183" s="86" t="s">
        <v>129</v>
      </c>
      <c r="D183" s="1" t="s">
        <v>302</v>
      </c>
      <c r="E183" s="75">
        <v>0.012</v>
      </c>
      <c r="F183" s="100">
        <v>92000</v>
      </c>
      <c r="G183" s="103">
        <f t="shared" si="19"/>
        <v>1104</v>
      </c>
      <c r="H183" s="101"/>
      <c r="I183" s="120" t="str">
        <f ca="1" t="shared" si="16"/>
        <v>4/20/2025</v>
      </c>
      <c r="J183" s="132"/>
      <c r="K183" s="76" t="s">
        <v>28</v>
      </c>
      <c r="L183" s="103"/>
      <c r="M183" s="122">
        <f>6*23</f>
        <v>138</v>
      </c>
      <c r="N183" s="138">
        <f t="shared" si="20"/>
        <v>666.666666666667</v>
      </c>
      <c r="O183" s="79" t="s">
        <v>358</v>
      </c>
      <c r="P183" s="135"/>
      <c r="Q183" s="135"/>
      <c r="R183" s="135"/>
      <c r="S183" s="135"/>
      <c r="T183" s="135"/>
      <c r="U183" s="103"/>
      <c r="V183" s="135"/>
      <c r="W183" s="170" t="s">
        <v>376</v>
      </c>
      <c r="X183" s="146" t="s">
        <v>28</v>
      </c>
    </row>
    <row r="184" spans="1:24">
      <c r="A184" s="73" t="s">
        <v>378</v>
      </c>
      <c r="B184" s="74" t="s">
        <v>33</v>
      </c>
      <c r="C184" s="86" t="s">
        <v>129</v>
      </c>
      <c r="D184" s="1" t="s">
        <v>67</v>
      </c>
      <c r="E184" s="75">
        <v>0.02</v>
      </c>
      <c r="F184" s="100">
        <v>24148.5</v>
      </c>
      <c r="G184" s="103">
        <f t="shared" si="19"/>
        <v>482.97</v>
      </c>
      <c r="H184" s="101"/>
      <c r="I184" s="120" t="str">
        <f ca="1" t="shared" si="16"/>
        <v>3/9/2025</v>
      </c>
      <c r="J184" s="132">
        <v>30</v>
      </c>
      <c r="K184" s="76">
        <f ca="1">I184+J184+15</f>
        <v>45770</v>
      </c>
      <c r="L184" s="103" t="s">
        <v>35</v>
      </c>
      <c r="M184" s="133">
        <v>260</v>
      </c>
      <c r="N184" s="138">
        <f t="shared" si="20"/>
        <v>92.8788461538462</v>
      </c>
      <c r="O184" s="79" t="s">
        <v>251</v>
      </c>
      <c r="P184" s="135"/>
      <c r="Q184" s="135"/>
      <c r="R184" s="135"/>
      <c r="S184" s="135"/>
      <c r="T184" s="135"/>
      <c r="U184" s="49">
        <f>F184</f>
        <v>24148.5</v>
      </c>
      <c r="V184" s="135"/>
      <c r="W184" s="3" t="s">
        <v>379</v>
      </c>
      <c r="X184" s="146">
        <v>45938</v>
      </c>
    </row>
    <row r="185" spans="1:24">
      <c r="A185" s="73" t="s">
        <v>380</v>
      </c>
      <c r="B185" s="74" t="s">
        <v>33</v>
      </c>
      <c r="C185" s="86" t="s">
        <v>155</v>
      </c>
      <c r="D185" s="1" t="s">
        <v>302</v>
      </c>
      <c r="E185" s="75">
        <v>0.012</v>
      </c>
      <c r="F185" s="100">
        <v>100000</v>
      </c>
      <c r="G185" s="103">
        <f t="shared" si="19"/>
        <v>1200</v>
      </c>
      <c r="H185" s="101"/>
      <c r="I185" s="120" t="str">
        <f ca="1" t="shared" si="16"/>
        <v>3/9/2025</v>
      </c>
      <c r="J185" s="132"/>
      <c r="K185" s="76" t="s">
        <v>28</v>
      </c>
      <c r="L185" s="103" t="s">
        <v>38</v>
      </c>
      <c r="M185" s="133">
        <v>260</v>
      </c>
      <c r="N185" s="138">
        <f t="shared" si="20"/>
        <v>384.615384615385</v>
      </c>
      <c r="O185" s="79" t="s">
        <v>251</v>
      </c>
      <c r="P185" s="135"/>
      <c r="Q185" s="135"/>
      <c r="R185" s="135"/>
      <c r="S185" s="103">
        <f>Table6[[#This Row],[Value (RM)]]</f>
        <v>100000</v>
      </c>
      <c r="T185" s="135"/>
      <c r="U185" s="103"/>
      <c r="V185" s="135"/>
      <c r="W185" s="3" t="s">
        <v>379</v>
      </c>
      <c r="X185" s="146" t="s">
        <v>28</v>
      </c>
    </row>
    <row r="186" spans="1:24">
      <c r="A186" s="73" t="s">
        <v>381</v>
      </c>
      <c r="B186" s="99" t="s">
        <v>33</v>
      </c>
      <c r="C186" s="86" t="s">
        <v>160</v>
      </c>
      <c r="D186" s="1" t="s">
        <v>341</v>
      </c>
      <c r="E186" s="75">
        <v>0.006</v>
      </c>
      <c r="F186" s="100">
        <v>59000</v>
      </c>
      <c r="G186" s="103">
        <f t="shared" si="19"/>
        <v>354</v>
      </c>
      <c r="H186" s="101"/>
      <c r="I186" s="120" t="str">
        <f ca="1" t="shared" si="16"/>
        <v>6/11/2025</v>
      </c>
      <c r="J186" s="132"/>
      <c r="K186" s="76" t="s">
        <v>28</v>
      </c>
      <c r="L186" s="103" t="s">
        <v>59</v>
      </c>
      <c r="M186" s="133">
        <v>260</v>
      </c>
      <c r="N186" s="134">
        <f t="shared" si="20"/>
        <v>226.923076923077</v>
      </c>
      <c r="O186" s="79" t="s">
        <v>251</v>
      </c>
      <c r="P186" s="135"/>
      <c r="Q186" s="135"/>
      <c r="R186" s="135">
        <f>Table6[[#This Row],[Value (RM)]]</f>
        <v>59000</v>
      </c>
      <c r="S186" s="135"/>
      <c r="T186" s="135"/>
      <c r="U186" s="103"/>
      <c r="V186" s="135"/>
      <c r="W186" s="3" t="s">
        <v>379</v>
      </c>
      <c r="X186" s="146" t="s">
        <v>28</v>
      </c>
    </row>
    <row r="187" spans="1:24">
      <c r="A187" s="73" t="s">
        <v>382</v>
      </c>
      <c r="B187" s="99" t="s">
        <v>33</v>
      </c>
      <c r="C187" s="86" t="s">
        <v>129</v>
      </c>
      <c r="D187" s="1" t="s">
        <v>67</v>
      </c>
      <c r="E187" s="75">
        <v>0.9</v>
      </c>
      <c r="F187" s="100">
        <v>68000</v>
      </c>
      <c r="G187" s="103">
        <f t="shared" si="19"/>
        <v>61200</v>
      </c>
      <c r="H187" s="101"/>
      <c r="I187" s="120" t="str">
        <f ca="1" t="shared" si="16"/>
        <v>11/25/2025</v>
      </c>
      <c r="J187" s="132">
        <v>45</v>
      </c>
      <c r="K187" s="76">
        <f ca="1">I187+J187+15</f>
        <v>46046</v>
      </c>
      <c r="L187" s="103" t="s">
        <v>38</v>
      </c>
      <c r="M187" s="133">
        <f>18*21</f>
        <v>378</v>
      </c>
      <c r="N187" s="138">
        <f t="shared" si="20"/>
        <v>179.89417989418</v>
      </c>
      <c r="O187" s="79" t="s">
        <v>251</v>
      </c>
      <c r="P187" s="135"/>
      <c r="Q187" s="135"/>
      <c r="R187" s="135"/>
      <c r="S187" s="135"/>
      <c r="T187" s="135"/>
      <c r="U187" s="103"/>
      <c r="V187" s="135"/>
      <c r="W187" s="3" t="s">
        <v>379</v>
      </c>
      <c r="X187" s="146" t="s">
        <v>28</v>
      </c>
    </row>
    <row r="188" spans="1:24">
      <c r="A188" s="73" t="s">
        <v>383</v>
      </c>
      <c r="B188" s="74" t="s">
        <v>33</v>
      </c>
      <c r="C188" s="86" t="s">
        <v>384</v>
      </c>
      <c r="D188" s="1" t="s">
        <v>302</v>
      </c>
      <c r="E188" s="113">
        <v>0.018</v>
      </c>
      <c r="F188" s="87">
        <v>200000</v>
      </c>
      <c r="G188" s="88">
        <f t="shared" si="19"/>
        <v>3600</v>
      </c>
      <c r="H188" s="89"/>
      <c r="I188" s="120" t="str">
        <f ca="1" t="shared" si="16"/>
        <v>4/3/2025</v>
      </c>
      <c r="J188" s="89"/>
      <c r="K188" s="76" t="s">
        <v>28</v>
      </c>
      <c r="L188" s="88" t="s">
        <v>38</v>
      </c>
      <c r="M188" s="122">
        <v>1050</v>
      </c>
      <c r="N188" s="109">
        <f t="shared" si="20"/>
        <v>190.47619047619</v>
      </c>
      <c r="O188" s="79" t="s">
        <v>251</v>
      </c>
      <c r="P188" s="3"/>
      <c r="Q188" s="3"/>
      <c r="R188" s="92"/>
      <c r="S188" s="92"/>
      <c r="T188" s="92"/>
      <c r="U188" s="145">
        <v>200000</v>
      </c>
      <c r="V188" s="92"/>
      <c r="W188" s="3" t="s">
        <v>385</v>
      </c>
      <c r="X188" s="146" t="s">
        <v>386</v>
      </c>
    </row>
    <row r="189" spans="1:24">
      <c r="A189" s="73" t="s">
        <v>387</v>
      </c>
      <c r="B189" s="99" t="s">
        <v>25</v>
      </c>
      <c r="C189" s="86" t="s">
        <v>388</v>
      </c>
      <c r="D189" s="1" t="s">
        <v>341</v>
      </c>
      <c r="E189" s="75">
        <v>0.005</v>
      </c>
      <c r="F189" s="100">
        <v>184750</v>
      </c>
      <c r="G189" s="103">
        <f t="shared" si="19"/>
        <v>923.75</v>
      </c>
      <c r="H189" s="101"/>
      <c r="I189" s="120" t="str">
        <f ca="1" t="shared" si="16"/>
        <v>4/8/2025</v>
      </c>
      <c r="J189" s="132"/>
      <c r="K189" s="76" t="s">
        <v>28</v>
      </c>
      <c r="L189" s="103" t="s">
        <v>38</v>
      </c>
      <c r="M189" s="133">
        <f>4.5*12</f>
        <v>54</v>
      </c>
      <c r="N189" s="134">
        <f t="shared" si="20"/>
        <v>3421.2962962963</v>
      </c>
      <c r="O189" s="79" t="s">
        <v>251</v>
      </c>
      <c r="P189" s="135"/>
      <c r="Q189" s="135"/>
      <c r="R189" s="135"/>
      <c r="S189" s="135"/>
      <c r="T189" s="135"/>
      <c r="U189" s="103">
        <f>Table6[[#This Row],[Value (RM)]]</f>
        <v>184750</v>
      </c>
      <c r="V189" s="135"/>
      <c r="W189" s="3" t="s">
        <v>385</v>
      </c>
      <c r="X189" s="146" t="s">
        <v>389</v>
      </c>
    </row>
    <row r="190" spans="1:24">
      <c r="A190" s="73" t="s">
        <v>390</v>
      </c>
      <c r="B190" s="74" t="s">
        <v>45</v>
      </c>
      <c r="C190" s="86" t="s">
        <v>46</v>
      </c>
      <c r="D190" s="1" t="s">
        <v>341</v>
      </c>
      <c r="E190" s="75">
        <v>0.005</v>
      </c>
      <c r="F190" s="87">
        <v>210000</v>
      </c>
      <c r="G190" s="88">
        <f t="shared" si="19"/>
        <v>1050</v>
      </c>
      <c r="H190" s="89"/>
      <c r="I190" s="120" t="str">
        <f ca="1" t="shared" si="16"/>
        <v>5/24/2025</v>
      </c>
      <c r="J190" s="89"/>
      <c r="K190" s="76" t="s">
        <v>28</v>
      </c>
      <c r="L190" s="88" t="s">
        <v>38</v>
      </c>
      <c r="M190" s="133">
        <f>4.5*12</f>
        <v>54</v>
      </c>
      <c r="N190" s="109">
        <f t="shared" si="20"/>
        <v>3888.88888888889</v>
      </c>
      <c r="O190" s="79" t="s">
        <v>391</v>
      </c>
      <c r="P190" s="92"/>
      <c r="Q190" s="92"/>
      <c r="R190" s="92">
        <f>F190</f>
        <v>210000</v>
      </c>
      <c r="S190" s="92"/>
      <c r="T190" s="92"/>
      <c r="U190" s="88"/>
      <c r="V190" s="92"/>
      <c r="W190" s="3" t="s">
        <v>385</v>
      </c>
      <c r="X190" s="146" t="s">
        <v>392</v>
      </c>
    </row>
    <row r="191" ht="28.8" spans="1:24">
      <c r="A191" s="73" t="s">
        <v>393</v>
      </c>
      <c r="B191" s="74" t="s">
        <v>33</v>
      </c>
      <c r="C191" s="86" t="s">
        <v>79</v>
      </c>
      <c r="D191" s="107" t="s">
        <v>341</v>
      </c>
      <c r="E191" s="75">
        <v>0.005</v>
      </c>
      <c r="F191" s="87">
        <v>30000</v>
      </c>
      <c r="G191" s="88">
        <f t="shared" si="19"/>
        <v>150</v>
      </c>
      <c r="H191" s="89"/>
      <c r="I191" s="120" t="str">
        <f ca="1" t="shared" si="16"/>
        <v>2/12/2025</v>
      </c>
      <c r="J191" s="89"/>
      <c r="K191" s="76" t="s">
        <v>28</v>
      </c>
      <c r="L191" s="88" t="s">
        <v>52</v>
      </c>
      <c r="M191" s="133">
        <f>4.5*12</f>
        <v>54</v>
      </c>
      <c r="N191" s="109">
        <f t="shared" si="20"/>
        <v>555.555555555556</v>
      </c>
      <c r="O191" s="79" t="s">
        <v>391</v>
      </c>
      <c r="P191" s="92"/>
      <c r="Q191" s="92"/>
      <c r="R191" s="92">
        <f>F191</f>
        <v>30000</v>
      </c>
      <c r="S191" s="92"/>
      <c r="T191" s="92"/>
      <c r="U191" s="88"/>
      <c r="V191" s="92"/>
      <c r="W191" s="3" t="s">
        <v>385</v>
      </c>
      <c r="X191" s="146" t="s">
        <v>394</v>
      </c>
    </row>
    <row r="192" ht="28.8" spans="1:24">
      <c r="A192" s="73" t="s">
        <v>395</v>
      </c>
      <c r="B192" s="74" t="s">
        <v>33</v>
      </c>
      <c r="C192" s="86" t="s">
        <v>79</v>
      </c>
      <c r="D192" s="1" t="s">
        <v>341</v>
      </c>
      <c r="E192" s="75">
        <v>0.005</v>
      </c>
      <c r="F192" s="87">
        <v>200000</v>
      </c>
      <c r="G192" s="88">
        <f t="shared" si="19"/>
        <v>1000</v>
      </c>
      <c r="H192" s="89"/>
      <c r="I192" s="120" t="str">
        <f ca="1" t="shared" si="16"/>
        <v>8/31/2025</v>
      </c>
      <c r="J192" s="89"/>
      <c r="K192" s="76" t="s">
        <v>28</v>
      </c>
      <c r="L192" s="88" t="s">
        <v>52</v>
      </c>
      <c r="M192" s="122">
        <f>50*100*4+25*100*4</f>
        <v>30000</v>
      </c>
      <c r="N192" s="109">
        <f t="shared" si="20"/>
        <v>6.66666666666667</v>
      </c>
      <c r="O192" s="79" t="s">
        <v>391</v>
      </c>
      <c r="P192" s="92"/>
      <c r="Q192" s="92"/>
      <c r="R192" s="88">
        <v>200000</v>
      </c>
      <c r="S192" s="88"/>
      <c r="T192" s="88"/>
      <c r="V192" s="49"/>
      <c r="W192" s="3" t="s">
        <v>385</v>
      </c>
      <c r="X192" s="146" t="s">
        <v>396</v>
      </c>
    </row>
    <row r="193" spans="1:24">
      <c r="A193" s="73" t="s">
        <v>397</v>
      </c>
      <c r="B193" s="74" t="s">
        <v>33</v>
      </c>
      <c r="C193" s="86" t="s">
        <v>91</v>
      </c>
      <c r="D193" s="1" t="s">
        <v>341</v>
      </c>
      <c r="E193" s="75">
        <v>0.005</v>
      </c>
      <c r="F193" s="100">
        <v>400000</v>
      </c>
      <c r="G193" s="103">
        <f t="shared" si="19"/>
        <v>2000</v>
      </c>
      <c r="H193" s="101"/>
      <c r="I193" s="120" t="str">
        <f ca="1" t="shared" si="16"/>
        <v>3/8/2025</v>
      </c>
      <c r="J193" s="132"/>
      <c r="K193" s="76" t="s">
        <v>28</v>
      </c>
      <c r="L193" s="103" t="s">
        <v>38</v>
      </c>
      <c r="M193" s="122">
        <f>50*100*4+25*100*4</f>
        <v>30000</v>
      </c>
      <c r="N193" s="138">
        <f t="shared" si="20"/>
        <v>13.3333333333333</v>
      </c>
      <c r="O193" s="79" t="s">
        <v>391</v>
      </c>
      <c r="P193" s="135"/>
      <c r="Q193" s="135"/>
      <c r="R193" s="135">
        <f>F193</f>
        <v>400000</v>
      </c>
      <c r="S193" s="135"/>
      <c r="T193" s="135"/>
      <c r="U193" s="103"/>
      <c r="V193" s="135"/>
      <c r="W193" s="3" t="s">
        <v>385</v>
      </c>
      <c r="X193" s="146" t="s">
        <v>398</v>
      </c>
    </row>
    <row r="194" ht="28.8" spans="1:24">
      <c r="A194" s="73" t="s">
        <v>399</v>
      </c>
      <c r="B194" s="74" t="s">
        <v>33</v>
      </c>
      <c r="C194" s="86" t="s">
        <v>91</v>
      </c>
      <c r="D194" s="1" t="s">
        <v>341</v>
      </c>
      <c r="E194" s="75">
        <v>0.005</v>
      </c>
      <c r="F194" s="87">
        <v>150000</v>
      </c>
      <c r="G194" s="88">
        <f t="shared" si="19"/>
        <v>750</v>
      </c>
      <c r="H194" s="89"/>
      <c r="I194" s="120" t="str">
        <f ca="1" t="shared" ref="I194:I205" si="21">TEXT(RANDBETWEEN(DATE(2025,1,1),DATE(2025,12,31)),"m/d/yyyy")</f>
        <v>2/16/2025</v>
      </c>
      <c r="J194" s="89"/>
      <c r="K194" s="76" t="s">
        <v>28</v>
      </c>
      <c r="L194" s="88" t="s">
        <v>38</v>
      </c>
      <c r="M194" s="122">
        <f>50*100*4+25*100*4</f>
        <v>30000</v>
      </c>
      <c r="N194" s="109">
        <f t="shared" si="20"/>
        <v>5</v>
      </c>
      <c r="O194" s="79" t="s">
        <v>391</v>
      </c>
      <c r="P194" s="92"/>
      <c r="Q194" s="92"/>
      <c r="R194" s="92"/>
      <c r="S194" s="92"/>
      <c r="T194" s="92"/>
      <c r="U194" s="145">
        <f>F194</f>
        <v>150000</v>
      </c>
      <c r="V194" s="92"/>
      <c r="W194" s="3" t="s">
        <v>385</v>
      </c>
      <c r="X194" s="146" t="s">
        <v>400</v>
      </c>
    </row>
    <row r="195" spans="1:24">
      <c r="A195" s="73" t="s">
        <v>401</v>
      </c>
      <c r="B195" s="74" t="s">
        <v>45</v>
      </c>
      <c r="C195" s="86" t="s">
        <v>102</v>
      </c>
      <c r="D195" s="1" t="s">
        <v>341</v>
      </c>
      <c r="E195" s="75">
        <v>0.005</v>
      </c>
      <c r="F195" s="87">
        <v>300000</v>
      </c>
      <c r="G195" s="88">
        <f t="shared" si="19"/>
        <v>1500</v>
      </c>
      <c r="H195" s="89"/>
      <c r="I195" s="120" t="str">
        <f ca="1" t="shared" si="21"/>
        <v>12/5/2025</v>
      </c>
      <c r="J195" s="89">
        <v>60</v>
      </c>
      <c r="K195" s="76" t="s">
        <v>28</v>
      </c>
      <c r="L195" s="88" t="s">
        <v>38</v>
      </c>
      <c r="M195" s="122">
        <v>90</v>
      </c>
      <c r="N195" s="109">
        <f t="shared" si="20"/>
        <v>3333.33333333333</v>
      </c>
      <c r="O195" s="79" t="s">
        <v>391</v>
      </c>
      <c r="P195" s="135"/>
      <c r="Q195" s="135"/>
      <c r="R195" s="92"/>
      <c r="S195" s="92"/>
      <c r="T195" s="92">
        <f>F195</f>
        <v>300000</v>
      </c>
      <c r="U195" s="88"/>
      <c r="V195" s="92"/>
      <c r="W195" s="3" t="s">
        <v>385</v>
      </c>
      <c r="X195" s="146" t="s">
        <v>402</v>
      </c>
    </row>
    <row r="196" spans="1:24">
      <c r="A196" s="73" t="s">
        <v>403</v>
      </c>
      <c r="B196" s="99" t="s">
        <v>25</v>
      </c>
      <c r="C196" s="86" t="s">
        <v>404</v>
      </c>
      <c r="D196" s="1" t="s">
        <v>341</v>
      </c>
      <c r="E196" s="75">
        <v>0.005</v>
      </c>
      <c r="F196" s="100">
        <v>110000</v>
      </c>
      <c r="G196" s="103">
        <f t="shared" si="19"/>
        <v>550</v>
      </c>
      <c r="H196" s="101"/>
      <c r="I196" s="120" t="str">
        <f ca="1" t="shared" si="21"/>
        <v>7/12/2025</v>
      </c>
      <c r="J196" s="132">
        <v>30</v>
      </c>
      <c r="K196" s="76" t="s">
        <v>28</v>
      </c>
      <c r="L196" s="103" t="s">
        <v>38</v>
      </c>
      <c r="M196" s="133">
        <f>3.6*5.3*2</f>
        <v>38.16</v>
      </c>
      <c r="N196" s="134">
        <f t="shared" si="20"/>
        <v>2882.59958071279</v>
      </c>
      <c r="O196" s="79" t="s">
        <v>391</v>
      </c>
      <c r="P196" s="135"/>
      <c r="Q196" s="135"/>
      <c r="R196" s="135"/>
      <c r="S196" s="135"/>
      <c r="T196" s="135">
        <f>Table6[[#This Row],[Value (RM)]]</f>
        <v>110000</v>
      </c>
      <c r="U196" s="103"/>
      <c r="V196" s="135"/>
      <c r="W196" s="3" t="s">
        <v>385</v>
      </c>
      <c r="X196" s="146" t="s">
        <v>405</v>
      </c>
    </row>
    <row r="197" spans="1:24">
      <c r="A197" s="73" t="s">
        <v>406</v>
      </c>
      <c r="B197" s="74" t="s">
        <v>50</v>
      </c>
      <c r="C197" s="86" t="s">
        <v>51</v>
      </c>
      <c r="D197" s="1" t="s">
        <v>341</v>
      </c>
      <c r="E197" s="75">
        <v>0.005</v>
      </c>
      <c r="F197" s="100">
        <v>400000</v>
      </c>
      <c r="G197" s="103">
        <f t="shared" si="19"/>
        <v>2000</v>
      </c>
      <c r="H197" s="101"/>
      <c r="I197" s="120" t="str">
        <f ca="1" t="shared" si="21"/>
        <v>2/16/2025</v>
      </c>
      <c r="J197" s="132">
        <v>30</v>
      </c>
      <c r="K197" s="76" t="s">
        <v>28</v>
      </c>
      <c r="L197" s="103" t="s">
        <v>38</v>
      </c>
      <c r="M197" s="133">
        <f>16*26</f>
        <v>416</v>
      </c>
      <c r="N197" s="138">
        <f t="shared" si="20"/>
        <v>961.538461538462</v>
      </c>
      <c r="O197" s="79" t="s">
        <v>391</v>
      </c>
      <c r="P197" s="135"/>
      <c r="Q197" s="135"/>
      <c r="R197" s="135"/>
      <c r="S197" s="135"/>
      <c r="T197" s="135">
        <f>F197</f>
        <v>400000</v>
      </c>
      <c r="U197" s="103"/>
      <c r="V197" s="135"/>
      <c r="W197" s="3" t="s">
        <v>385</v>
      </c>
      <c r="X197" s="146" t="s">
        <v>407</v>
      </c>
    </row>
    <row r="198" spans="1:24">
      <c r="A198" s="73" t="s">
        <v>408</v>
      </c>
      <c r="B198" s="99" t="s">
        <v>33</v>
      </c>
      <c r="C198" s="86" t="s">
        <v>55</v>
      </c>
      <c r="D198" s="1" t="s">
        <v>341</v>
      </c>
      <c r="E198" s="75">
        <v>0.005</v>
      </c>
      <c r="F198" s="100">
        <v>20000</v>
      </c>
      <c r="G198" s="103">
        <f t="shared" si="19"/>
        <v>100</v>
      </c>
      <c r="H198" s="101"/>
      <c r="I198" s="120" t="str">
        <f ca="1" t="shared" si="21"/>
        <v>10/19/2025</v>
      </c>
      <c r="J198" s="132"/>
      <c r="K198" s="76" t="s">
        <v>28</v>
      </c>
      <c r="L198" s="103" t="s">
        <v>38</v>
      </c>
      <c r="M198" s="133">
        <v>30</v>
      </c>
      <c r="N198" s="134">
        <f t="shared" si="20"/>
        <v>666.666666666667</v>
      </c>
      <c r="O198" s="79" t="s">
        <v>391</v>
      </c>
      <c r="P198" s="49"/>
      <c r="Q198" s="135"/>
      <c r="R198" s="135">
        <f>F198</f>
        <v>20000</v>
      </c>
      <c r="S198" s="135"/>
      <c r="T198" s="135"/>
      <c r="U198" s="103"/>
      <c r="V198" s="135"/>
      <c r="W198" s="3" t="s">
        <v>385</v>
      </c>
      <c r="X198" s="146" t="s">
        <v>409</v>
      </c>
    </row>
    <row r="199" spans="1:24">
      <c r="A199" s="73" t="s">
        <v>410</v>
      </c>
      <c r="B199" s="99" t="s">
        <v>50</v>
      </c>
      <c r="C199" s="86" t="s">
        <v>51</v>
      </c>
      <c r="D199" s="1" t="s">
        <v>302</v>
      </c>
      <c r="E199" s="75">
        <v>0.01</v>
      </c>
      <c r="F199" s="100">
        <v>2550000</v>
      </c>
      <c r="G199" s="88">
        <f t="shared" si="19"/>
        <v>25500</v>
      </c>
      <c r="H199" s="101"/>
      <c r="I199" s="120" t="str">
        <f ca="1" t="shared" si="21"/>
        <v>1/30/2025</v>
      </c>
      <c r="J199" s="132"/>
      <c r="K199" s="76" t="s">
        <v>28</v>
      </c>
      <c r="L199" s="103" t="s">
        <v>35</v>
      </c>
      <c r="M199" s="133">
        <v>2200</v>
      </c>
      <c r="N199" s="109">
        <f t="shared" si="20"/>
        <v>1159.09090909091</v>
      </c>
      <c r="O199" s="79" t="s">
        <v>391</v>
      </c>
      <c r="P199" s="135"/>
      <c r="Q199" s="135"/>
      <c r="R199" s="135">
        <f>Table6[[#This Row],[Value (RM)]]</f>
        <v>2550000</v>
      </c>
      <c r="S199" s="135"/>
      <c r="T199" s="135"/>
      <c r="U199" s="103"/>
      <c r="V199" s="135"/>
      <c r="W199" s="3" t="s">
        <v>385</v>
      </c>
      <c r="X199" s="146" t="s">
        <v>411</v>
      </c>
    </row>
    <row r="200" spans="1:24">
      <c r="A200" s="73" t="s">
        <v>412</v>
      </c>
      <c r="B200" s="99" t="s">
        <v>50</v>
      </c>
      <c r="C200" s="86" t="s">
        <v>51</v>
      </c>
      <c r="D200" s="1" t="s">
        <v>341</v>
      </c>
      <c r="E200" s="75">
        <v>0.003</v>
      </c>
      <c r="F200" s="100">
        <v>900000</v>
      </c>
      <c r="G200" s="88">
        <f t="shared" si="19"/>
        <v>2700</v>
      </c>
      <c r="H200" s="101"/>
      <c r="I200" s="120" t="str">
        <f ca="1" t="shared" si="21"/>
        <v>2/23/2025</v>
      </c>
      <c r="J200" s="132"/>
      <c r="K200" s="76" t="s">
        <v>28</v>
      </c>
      <c r="L200" s="103" t="s">
        <v>38</v>
      </c>
      <c r="M200" s="133">
        <f>10*30+6*15</f>
        <v>390</v>
      </c>
      <c r="N200" s="109">
        <f t="shared" si="20"/>
        <v>2307.69230769231</v>
      </c>
      <c r="O200" s="79" t="s">
        <v>391</v>
      </c>
      <c r="P200" s="135"/>
      <c r="Q200" s="135"/>
      <c r="R200" s="135">
        <f>Table6[[#This Row],[Value (RM)]]</f>
        <v>900000</v>
      </c>
      <c r="S200" s="135"/>
      <c r="T200" s="135"/>
      <c r="U200" s="103"/>
      <c r="V200" s="135"/>
      <c r="W200" s="3" t="s">
        <v>385</v>
      </c>
      <c r="X200" s="146" t="s">
        <v>28</v>
      </c>
    </row>
    <row r="201" spans="1:24">
      <c r="A201" s="114" t="s">
        <v>413</v>
      </c>
      <c r="B201" s="74" t="s">
        <v>33</v>
      </c>
      <c r="C201" s="86" t="s">
        <v>122</v>
      </c>
      <c r="D201" s="1" t="s">
        <v>341</v>
      </c>
      <c r="E201" s="75">
        <v>0.008</v>
      </c>
      <c r="F201" s="87">
        <v>50000</v>
      </c>
      <c r="G201" s="88">
        <f t="shared" si="19"/>
        <v>400</v>
      </c>
      <c r="H201" s="89"/>
      <c r="I201" s="120" t="str">
        <f ca="1" t="shared" si="21"/>
        <v>4/25/2025</v>
      </c>
      <c r="J201" s="89"/>
      <c r="K201" s="76" t="s">
        <v>28</v>
      </c>
      <c r="L201" s="88" t="s">
        <v>38</v>
      </c>
      <c r="M201" s="133">
        <f>10*30+6*15</f>
        <v>390</v>
      </c>
      <c r="N201" s="109">
        <f t="shared" si="20"/>
        <v>128.205128205128</v>
      </c>
      <c r="O201" s="79" t="s">
        <v>391</v>
      </c>
      <c r="P201" s="92"/>
      <c r="Q201" s="92"/>
      <c r="R201" s="92"/>
      <c r="S201" s="92"/>
      <c r="T201" s="92"/>
      <c r="U201" s="162"/>
      <c r="V201" s="145">
        <f>F201</f>
        <v>50000</v>
      </c>
      <c r="W201" s="3" t="s">
        <v>385</v>
      </c>
      <c r="X201" s="146" t="s">
        <v>28</v>
      </c>
    </row>
    <row r="202" spans="1:24">
      <c r="A202" s="114" t="s">
        <v>414</v>
      </c>
      <c r="B202" s="74" t="s">
        <v>33</v>
      </c>
      <c r="C202" s="86" t="s">
        <v>415</v>
      </c>
      <c r="D202" s="1" t="s">
        <v>341</v>
      </c>
      <c r="E202" s="75">
        <v>0.008</v>
      </c>
      <c r="F202" s="87">
        <v>20000</v>
      </c>
      <c r="G202" s="88">
        <f t="shared" si="19"/>
        <v>160</v>
      </c>
      <c r="H202" s="89"/>
      <c r="I202" s="120" t="str">
        <f ca="1" t="shared" si="21"/>
        <v>11/2/2025</v>
      </c>
      <c r="J202" s="89"/>
      <c r="K202" s="76" t="s">
        <v>28</v>
      </c>
      <c r="L202" s="88" t="s">
        <v>59</v>
      </c>
      <c r="M202" s="133">
        <f>10*30+6*15</f>
        <v>390</v>
      </c>
      <c r="N202" s="109">
        <f t="shared" si="20"/>
        <v>51.2820512820513</v>
      </c>
      <c r="O202" s="79" t="s">
        <v>391</v>
      </c>
      <c r="P202" s="92"/>
      <c r="Q202" s="92"/>
      <c r="R202" s="92"/>
      <c r="S202" s="92"/>
      <c r="T202" s="92"/>
      <c r="U202" s="162"/>
      <c r="V202" s="145">
        <f>F202</f>
        <v>20000</v>
      </c>
      <c r="W202" s="3" t="s">
        <v>385</v>
      </c>
      <c r="X202" s="146" t="s">
        <v>28</v>
      </c>
    </row>
    <row r="203" ht="28.8" spans="1:24">
      <c r="A203" s="73" t="s">
        <v>416</v>
      </c>
      <c r="B203" s="99" t="s">
        <v>33</v>
      </c>
      <c r="C203" s="86" t="s">
        <v>55</v>
      </c>
      <c r="D203" s="1" t="s">
        <v>341</v>
      </c>
      <c r="E203" s="75">
        <v>0.001</v>
      </c>
      <c r="F203" s="100">
        <v>80000</v>
      </c>
      <c r="G203" s="103">
        <f t="shared" si="19"/>
        <v>80</v>
      </c>
      <c r="H203" s="101"/>
      <c r="I203" s="120" t="str">
        <f ca="1" t="shared" si="21"/>
        <v>5/12/2025</v>
      </c>
      <c r="J203" s="132"/>
      <c r="K203" s="76" t="s">
        <v>28</v>
      </c>
      <c r="L203" s="103" t="s">
        <v>59</v>
      </c>
      <c r="M203" s="133">
        <v>1</v>
      </c>
      <c r="N203" s="134">
        <f t="shared" si="20"/>
        <v>80000</v>
      </c>
      <c r="O203" s="79" t="s">
        <v>391</v>
      </c>
      <c r="P203" s="135">
        <f>F203</f>
        <v>80000</v>
      </c>
      <c r="Q203" s="135"/>
      <c r="R203" s="135"/>
      <c r="S203" s="135"/>
      <c r="T203" s="135"/>
      <c r="U203" s="162"/>
      <c r="V203" s="49"/>
      <c r="W203" s="3" t="s">
        <v>385</v>
      </c>
      <c r="X203" s="146" t="s">
        <v>28</v>
      </c>
    </row>
    <row r="204" spans="1:24">
      <c r="A204" s="73" t="s">
        <v>417</v>
      </c>
      <c r="B204" s="99" t="s">
        <v>33</v>
      </c>
      <c r="C204" s="86" t="s">
        <v>55</v>
      </c>
      <c r="D204" s="1" t="s">
        <v>302</v>
      </c>
      <c r="E204" s="75">
        <v>0.01</v>
      </c>
      <c r="F204" s="100">
        <v>100000</v>
      </c>
      <c r="G204" s="103">
        <f t="shared" si="19"/>
        <v>1000</v>
      </c>
      <c r="H204" s="101"/>
      <c r="I204" s="120" t="str">
        <f ca="1" t="shared" si="21"/>
        <v>1/1/2025</v>
      </c>
      <c r="J204" s="132"/>
      <c r="K204" s="76" t="s">
        <v>28</v>
      </c>
      <c r="L204" s="103" t="s">
        <v>59</v>
      </c>
      <c r="M204" s="133">
        <v>1</v>
      </c>
      <c r="N204" s="134">
        <f t="shared" si="20"/>
        <v>100000</v>
      </c>
      <c r="O204" s="79" t="s">
        <v>391</v>
      </c>
      <c r="P204" s="135">
        <f>F204</f>
        <v>100000</v>
      </c>
      <c r="Q204" s="135"/>
      <c r="R204" s="135"/>
      <c r="S204" s="135"/>
      <c r="T204" s="135"/>
      <c r="U204" s="103"/>
      <c r="V204" s="135"/>
      <c r="W204" s="3" t="s">
        <v>385</v>
      </c>
      <c r="X204" s="146" t="s">
        <v>28</v>
      </c>
    </row>
    <row r="205" spans="1:24">
      <c r="A205" s="73" t="s">
        <v>418</v>
      </c>
      <c r="B205" s="74" t="s">
        <v>33</v>
      </c>
      <c r="C205" s="86" t="s">
        <v>122</v>
      </c>
      <c r="D205" s="1" t="s">
        <v>341</v>
      </c>
      <c r="E205" s="75">
        <v>0.001</v>
      </c>
      <c r="F205" s="87">
        <v>100000</v>
      </c>
      <c r="G205" s="88">
        <f t="shared" si="19"/>
        <v>100</v>
      </c>
      <c r="H205" s="89"/>
      <c r="I205" s="120" t="str">
        <f ca="1" t="shared" si="21"/>
        <v>1/5/2025</v>
      </c>
      <c r="J205" s="89"/>
      <c r="K205" s="76" t="s">
        <v>28</v>
      </c>
      <c r="L205" s="88" t="s">
        <v>38</v>
      </c>
      <c r="M205" s="133">
        <v>1</v>
      </c>
      <c r="N205" s="109">
        <f t="shared" si="20"/>
        <v>100000</v>
      </c>
      <c r="O205" s="79" t="s">
        <v>391</v>
      </c>
      <c r="P205" s="92"/>
      <c r="Q205" s="92"/>
      <c r="R205" s="92"/>
      <c r="S205" s="92"/>
      <c r="T205" s="92"/>
      <c r="U205" s="145"/>
      <c r="V205" s="92">
        <f>F205</f>
        <v>100000</v>
      </c>
      <c r="W205" s="3" t="s">
        <v>385</v>
      </c>
      <c r="X205" s="146" t="s">
        <v>28</v>
      </c>
    </row>
    <row r="206" spans="1:24">
      <c r="A206" s="73" t="s">
        <v>419</v>
      </c>
      <c r="B206" s="74" t="s">
        <v>45</v>
      </c>
      <c r="C206" s="86" t="s">
        <v>102</v>
      </c>
      <c r="D206" s="1" t="s">
        <v>341</v>
      </c>
      <c r="E206" s="151">
        <v>0.0005</v>
      </c>
      <c r="F206" s="87">
        <v>180000</v>
      </c>
      <c r="G206" s="88">
        <f t="shared" si="19"/>
        <v>90</v>
      </c>
      <c r="H206" s="101"/>
      <c r="I206" s="120" t="str">
        <f ca="1">TEXT(RANDBETWEEN(DATE(2025,1,1),DATE(2025,12,31)),"m/d/yyyy")</f>
        <v>8/16/2025</v>
      </c>
      <c r="J206" s="132"/>
      <c r="K206" s="76" t="s">
        <v>28</v>
      </c>
      <c r="L206" s="103" t="s">
        <v>38</v>
      </c>
      <c r="M206" s="133">
        <v>460</v>
      </c>
      <c r="N206" s="138">
        <f t="shared" si="20"/>
        <v>391.304347826087</v>
      </c>
      <c r="O206" s="79" t="s">
        <v>391</v>
      </c>
      <c r="P206" s="135"/>
      <c r="Q206" s="135"/>
      <c r="R206" s="135">
        <f>F206</f>
        <v>180000</v>
      </c>
      <c r="S206" s="135"/>
      <c r="T206" s="135"/>
      <c r="U206" s="103"/>
      <c r="V206" s="135"/>
      <c r="W206" s="3" t="s">
        <v>385</v>
      </c>
      <c r="X206" s="146" t="s">
        <v>28</v>
      </c>
    </row>
    <row r="207" spans="1:24">
      <c r="A207" s="108" t="s">
        <v>420</v>
      </c>
      <c r="B207" s="99" t="s">
        <v>33</v>
      </c>
      <c r="C207" s="1" t="s">
        <v>55</v>
      </c>
      <c r="D207" s="1" t="s">
        <v>341</v>
      </c>
      <c r="E207" s="75">
        <v>0</v>
      </c>
      <c r="F207" s="87">
        <v>10000</v>
      </c>
      <c r="G207" s="88">
        <f t="shared" si="19"/>
        <v>0</v>
      </c>
      <c r="H207" s="89"/>
      <c r="I207" s="120" t="str">
        <f ca="1">TEXT(RANDBETWEEN(DATE(2025,1,1),DATE(2025,12,31)),"m/d/yyyy")</f>
        <v>7/14/2025</v>
      </c>
      <c r="J207" s="130"/>
      <c r="K207" s="76" t="s">
        <v>28</v>
      </c>
      <c r="L207" s="88" t="s">
        <v>38</v>
      </c>
      <c r="M207" s="133">
        <v>460</v>
      </c>
      <c r="N207" s="109">
        <f t="shared" si="20"/>
        <v>21.7391304347826</v>
      </c>
      <c r="O207" s="79" t="s">
        <v>391</v>
      </c>
      <c r="P207" s="92"/>
      <c r="Q207" s="92"/>
      <c r="R207" s="92">
        <f>F207</f>
        <v>10000</v>
      </c>
      <c r="S207" s="92"/>
      <c r="T207" s="92"/>
      <c r="U207" s="88"/>
      <c r="V207" s="92"/>
      <c r="W207" s="3" t="s">
        <v>385</v>
      </c>
      <c r="X207" s="146" t="s">
        <v>28</v>
      </c>
    </row>
    <row r="208" ht="14.4" spans="1:24">
      <c r="A208" s="73" t="s">
        <v>421</v>
      </c>
      <c r="B208" s="74" t="s">
        <v>33</v>
      </c>
      <c r="C208" s="86" t="s">
        <v>88</v>
      </c>
      <c r="D208" s="1" t="s">
        <v>341</v>
      </c>
      <c r="E208" s="151">
        <v>0.003</v>
      </c>
      <c r="F208" s="87">
        <v>32000</v>
      </c>
      <c r="G208" s="88">
        <f t="shared" si="19"/>
        <v>96</v>
      </c>
      <c r="H208" s="101"/>
      <c r="I208" s="120" t="str">
        <f ca="1">TEXT(RANDBETWEEN(DATE(2025,1,1),DATE(2025,12,31)),"m/d/yyyy")</f>
        <v>7/12/2025</v>
      </c>
      <c r="J208" s="132"/>
      <c r="K208" s="76" t="s">
        <v>28</v>
      </c>
      <c r="L208" s="88" t="s">
        <v>38</v>
      </c>
      <c r="M208" s="133">
        <v>460</v>
      </c>
      <c r="N208" s="138">
        <f t="shared" si="20"/>
        <v>69.5652173913043</v>
      </c>
      <c r="O208" s="79" t="s">
        <v>391</v>
      </c>
      <c r="P208" s="135"/>
      <c r="Q208" s="135"/>
      <c r="R208" s="135"/>
      <c r="S208" s="135">
        <f>F208</f>
        <v>32000</v>
      </c>
      <c r="T208" s="135"/>
      <c r="U208" s="103"/>
      <c r="V208" s="135"/>
      <c r="W208" s="3" t="s">
        <v>385</v>
      </c>
      <c r="X208" s="146" t="s">
        <v>28</v>
      </c>
    </row>
    <row r="209" customHeight="1" spans="1:24">
      <c r="A209" s="73" t="s">
        <v>422</v>
      </c>
      <c r="B209" s="99" t="s">
        <v>45</v>
      </c>
      <c r="C209" s="86" t="s">
        <v>102</v>
      </c>
      <c r="D209" s="1" t="s">
        <v>27</v>
      </c>
      <c r="E209" s="75">
        <v>1</v>
      </c>
      <c r="F209" s="87">
        <f>5500*4</f>
        <v>22000</v>
      </c>
      <c r="G209" s="88">
        <f>F209*E209</f>
        <v>22000</v>
      </c>
      <c r="H209" s="89"/>
      <c r="I209" s="120" t="str">
        <f ca="1">TEXT(RANDBETWEEN(DATE(2025,1,1),DATE(2025,12,31)),"m/d/yyyy")</f>
        <v>1/6/2025</v>
      </c>
      <c r="J209" s="89"/>
      <c r="K209" s="76" t="s">
        <v>28</v>
      </c>
      <c r="L209" s="88" t="s">
        <v>52</v>
      </c>
      <c r="M209" s="122">
        <v>36</v>
      </c>
      <c r="N209" s="109">
        <f t="shared" ref="N209:N267" si="22">F209/M209</f>
        <v>611.111111111111</v>
      </c>
      <c r="O209" s="79" t="s">
        <v>107</v>
      </c>
      <c r="P209" s="92">
        <f>F209</f>
        <v>22000</v>
      </c>
      <c r="Q209" s="92"/>
      <c r="R209" s="92"/>
      <c r="S209" s="92"/>
      <c r="T209" s="92"/>
      <c r="U209" s="92"/>
      <c r="V209" s="183"/>
      <c r="W209" s="149" t="s">
        <v>43</v>
      </c>
      <c r="X209" s="146" t="s">
        <v>28</v>
      </c>
    </row>
    <row r="210" customHeight="1" spans="1:24">
      <c r="A210" s="73" t="s">
        <v>423</v>
      </c>
      <c r="B210" s="74" t="s">
        <v>45</v>
      </c>
      <c r="C210" s="86" t="s">
        <v>102</v>
      </c>
      <c r="D210" s="86" t="s">
        <v>27</v>
      </c>
      <c r="E210" s="75">
        <v>0.02</v>
      </c>
      <c r="F210" s="94">
        <v>307506</v>
      </c>
      <c r="G210" s="92">
        <f>E210*F210</f>
        <v>6150.12</v>
      </c>
      <c r="H210" s="95"/>
      <c r="I210" s="120" t="str">
        <f ca="1">TEXT(RANDBETWEEN(DATE(2025,1,1),DATE(2025,12,31)),"m/d/yyyy")</f>
        <v>5/20/2025</v>
      </c>
      <c r="J210" s="95"/>
      <c r="K210" s="76" t="s">
        <v>28</v>
      </c>
      <c r="L210" s="88" t="s">
        <v>35</v>
      </c>
      <c r="M210" s="126">
        <v>36</v>
      </c>
      <c r="N210" s="91">
        <f t="shared" si="22"/>
        <v>8541.83333333333</v>
      </c>
      <c r="O210" s="79" t="s">
        <v>107</v>
      </c>
      <c r="P210" s="135"/>
      <c r="Q210" s="135"/>
      <c r="R210" s="127">
        <f>F210</f>
        <v>307506</v>
      </c>
      <c r="S210" s="92"/>
      <c r="T210" s="92"/>
      <c r="U210" s="96"/>
      <c r="V210" s="125"/>
      <c r="W210" s="149" t="s">
        <v>43</v>
      </c>
      <c r="X210" s="146" t="s">
        <v>28</v>
      </c>
    </row>
    <row r="211" customHeight="1" spans="1:24">
      <c r="A211" s="73" t="s">
        <v>424</v>
      </c>
      <c r="B211" s="99" t="s">
        <v>45</v>
      </c>
      <c r="C211" s="86" t="s">
        <v>102</v>
      </c>
      <c r="D211" s="1" t="s">
        <v>27</v>
      </c>
      <c r="E211" s="75">
        <v>1</v>
      </c>
      <c r="F211" s="87">
        <v>19960</v>
      </c>
      <c r="G211" s="88">
        <f t="shared" ref="G211:G216" si="23">F211*E211</f>
        <v>19960</v>
      </c>
      <c r="H211" s="89"/>
      <c r="I211" s="120" t="str">
        <f ca="1" t="shared" ref="I211:I216" si="24">TEXT(RANDBETWEEN(DATE(2025,1,1),DATE(2025,12,31)),"m/d/yyyy")</f>
        <v>1/21/2025</v>
      </c>
      <c r="J211" s="89"/>
      <c r="K211" s="76" t="s">
        <v>28</v>
      </c>
      <c r="L211" s="88" t="s">
        <v>425</v>
      </c>
      <c r="M211" s="122">
        <v>40</v>
      </c>
      <c r="N211" s="109">
        <f t="shared" si="22"/>
        <v>499</v>
      </c>
      <c r="O211" s="79" t="s">
        <v>426</v>
      </c>
      <c r="P211" s="92">
        <f>F211</f>
        <v>19960</v>
      </c>
      <c r="Q211" s="92"/>
      <c r="R211" s="92"/>
      <c r="S211" s="92"/>
      <c r="T211" s="92"/>
      <c r="U211" s="92"/>
      <c r="V211" s="183"/>
      <c r="W211" s="149" t="s">
        <v>43</v>
      </c>
      <c r="X211" s="146" t="s">
        <v>28</v>
      </c>
    </row>
    <row r="212" customHeight="1" spans="1:24">
      <c r="A212" s="73" t="s">
        <v>427</v>
      </c>
      <c r="B212" s="99" t="s">
        <v>50</v>
      </c>
      <c r="C212" s="86" t="s">
        <v>51</v>
      </c>
      <c r="D212" s="1" t="s">
        <v>302</v>
      </c>
      <c r="E212" s="75">
        <v>0.01</v>
      </c>
      <c r="F212" s="87"/>
      <c r="G212" s="88">
        <f t="shared" si="23"/>
        <v>0</v>
      </c>
      <c r="H212" s="89"/>
      <c r="I212" s="120" t="str">
        <f ca="1" t="shared" si="24"/>
        <v>2/24/2025</v>
      </c>
      <c r="J212" s="89"/>
      <c r="K212" s="76" t="s">
        <v>28</v>
      </c>
      <c r="L212" s="88" t="s">
        <v>425</v>
      </c>
      <c r="M212" s="122">
        <v>41</v>
      </c>
      <c r="N212" s="109">
        <f t="shared" si="22"/>
        <v>0</v>
      </c>
      <c r="O212" s="79" t="s">
        <v>426</v>
      </c>
      <c r="P212" s="92"/>
      <c r="Q212" s="92"/>
      <c r="R212" s="92"/>
      <c r="S212" s="92"/>
      <c r="T212" s="92"/>
      <c r="U212" s="92"/>
      <c r="V212" s="183">
        <f>F212</f>
        <v>0</v>
      </c>
      <c r="W212" s="149" t="s">
        <v>43</v>
      </c>
      <c r="X212" s="146" t="s">
        <v>28</v>
      </c>
    </row>
    <row r="213" customHeight="1" spans="1:24">
      <c r="A213" s="73" t="s">
        <v>428</v>
      </c>
      <c r="B213" s="74" t="s">
        <v>45</v>
      </c>
      <c r="C213" s="1" t="s">
        <v>102</v>
      </c>
      <c r="D213" s="1" t="s">
        <v>341</v>
      </c>
      <c r="E213" s="151">
        <v>0.005</v>
      </c>
      <c r="F213" s="142">
        <v>55704</v>
      </c>
      <c r="G213" s="55">
        <f t="shared" si="23"/>
        <v>278.52</v>
      </c>
      <c r="I213" s="120" t="str">
        <f ca="1" t="shared" si="24"/>
        <v>3/4/2025</v>
      </c>
      <c r="K213" s="76" t="s">
        <v>28</v>
      </c>
      <c r="L213" s="88" t="s">
        <v>425</v>
      </c>
      <c r="M213" s="122">
        <v>42</v>
      </c>
      <c r="N213" s="109">
        <f t="shared" si="22"/>
        <v>1326.28571428571</v>
      </c>
      <c r="O213" s="79" t="s">
        <v>426</v>
      </c>
      <c r="P213" s="164">
        <f>F213</f>
        <v>55704</v>
      </c>
      <c r="Q213" s="164"/>
      <c r="W213" s="149" t="s">
        <v>43</v>
      </c>
      <c r="X213" s="146" t="s">
        <v>28</v>
      </c>
    </row>
    <row r="214" customHeight="1" spans="1:24">
      <c r="A214" s="73" t="s">
        <v>429</v>
      </c>
      <c r="B214" s="74" t="s">
        <v>33</v>
      </c>
      <c r="C214" s="1" t="s">
        <v>55</v>
      </c>
      <c r="D214" s="1" t="s">
        <v>67</v>
      </c>
      <c r="E214" s="151">
        <v>0.02</v>
      </c>
      <c r="F214" s="142">
        <v>960000</v>
      </c>
      <c r="G214" s="55">
        <f t="shared" si="23"/>
        <v>19200</v>
      </c>
      <c r="I214" s="76">
        <v>45947</v>
      </c>
      <c r="J214" s="177">
        <v>35</v>
      </c>
      <c r="K214" s="178">
        <f>I214+J214+15</f>
        <v>45997</v>
      </c>
      <c r="L214" s="1" t="s">
        <v>430</v>
      </c>
      <c r="M214" s="78">
        <v>4</v>
      </c>
      <c r="N214" s="109">
        <f t="shared" si="22"/>
        <v>240000</v>
      </c>
      <c r="O214" s="79" t="s">
        <v>274</v>
      </c>
      <c r="R214" s="5">
        <f>F214</f>
        <v>960000</v>
      </c>
      <c r="W214" s="149" t="s">
        <v>43</v>
      </c>
      <c r="X214" s="146" t="s">
        <v>28</v>
      </c>
    </row>
    <row r="215" customHeight="1" spans="1:24">
      <c r="A215" s="73" t="s">
        <v>431</v>
      </c>
      <c r="B215" s="74" t="s">
        <v>45</v>
      </c>
      <c r="C215" s="1" t="s">
        <v>102</v>
      </c>
      <c r="D215" s="1" t="s">
        <v>67</v>
      </c>
      <c r="E215" s="151">
        <v>0.5</v>
      </c>
      <c r="F215" s="142">
        <v>18000</v>
      </c>
      <c r="G215" s="88">
        <f t="shared" si="23"/>
        <v>9000</v>
      </c>
      <c r="I215" s="179">
        <v>45907</v>
      </c>
      <c r="J215" s="177">
        <v>60</v>
      </c>
      <c r="K215" s="178">
        <f>I215+J215+15</f>
        <v>45982</v>
      </c>
      <c r="L215" s="1" t="s">
        <v>432</v>
      </c>
      <c r="M215" s="78">
        <v>2</v>
      </c>
      <c r="N215" s="109">
        <f t="shared" si="22"/>
        <v>9000</v>
      </c>
      <c r="O215" s="79" t="s">
        <v>433</v>
      </c>
      <c r="W215" s="149" t="s">
        <v>43</v>
      </c>
      <c r="X215" s="146" t="s">
        <v>28</v>
      </c>
    </row>
    <row r="216" customHeight="1" spans="1:24">
      <c r="A216" s="73" t="s">
        <v>434</v>
      </c>
      <c r="B216" s="74" t="s">
        <v>33</v>
      </c>
      <c r="C216" s="86" t="s">
        <v>88</v>
      </c>
      <c r="D216" s="1" t="s">
        <v>341</v>
      </c>
      <c r="E216" s="75">
        <v>0.01</v>
      </c>
      <c r="F216" s="87">
        <v>300000</v>
      </c>
      <c r="G216" s="88">
        <f t="shared" si="23"/>
        <v>3000</v>
      </c>
      <c r="H216" s="89"/>
      <c r="I216" s="120" t="str">
        <f ca="1" t="shared" si="24"/>
        <v>11/27/2025</v>
      </c>
      <c r="J216" s="89"/>
      <c r="K216" s="76" t="s">
        <v>28</v>
      </c>
      <c r="L216" s="88" t="s">
        <v>38</v>
      </c>
      <c r="M216" s="78">
        <v>3</v>
      </c>
      <c r="N216" s="109">
        <f t="shared" si="22"/>
        <v>100000</v>
      </c>
      <c r="O216" s="79" t="s">
        <v>433</v>
      </c>
      <c r="P216" s="92"/>
      <c r="Q216" s="92"/>
      <c r="R216" s="92"/>
      <c r="S216" s="92"/>
      <c r="T216" s="92"/>
      <c r="U216" s="92"/>
      <c r="V216" s="145">
        <f>F216</f>
        <v>300000</v>
      </c>
      <c r="W216" s="149" t="s">
        <v>43</v>
      </c>
      <c r="X216" s="146" t="s">
        <v>28</v>
      </c>
    </row>
    <row r="217" customHeight="1" spans="1:24">
      <c r="A217" s="73" t="s">
        <v>435</v>
      </c>
      <c r="B217" s="74" t="s">
        <v>25</v>
      </c>
      <c r="C217" s="86" t="s">
        <v>131</v>
      </c>
      <c r="D217" s="1" t="s">
        <v>302</v>
      </c>
      <c r="E217" s="75">
        <v>0.01</v>
      </c>
      <c r="F217" s="87">
        <f>1800000</f>
        <v>1800000</v>
      </c>
      <c r="G217" s="88">
        <f>E217*F217</f>
        <v>18000</v>
      </c>
      <c r="H217" s="89"/>
      <c r="I217" s="120" t="str">
        <f ca="1" t="shared" ref="I217:I226" si="25">TEXT(RANDBETWEEN(DATE(2025,1,1),DATE(2025,12,31)),"m/d/yyyy")</f>
        <v>4/24/2025</v>
      </c>
      <c r="J217" s="130"/>
      <c r="K217" s="76" t="s">
        <v>28</v>
      </c>
      <c r="L217" s="88" t="s">
        <v>38</v>
      </c>
      <c r="M217" s="78">
        <v>4</v>
      </c>
      <c r="N217" s="91">
        <f t="shared" si="22"/>
        <v>450000</v>
      </c>
      <c r="O217" s="79" t="s">
        <v>433</v>
      </c>
      <c r="P217" s="135"/>
      <c r="Q217" s="135"/>
      <c r="R217" s="92">
        <f>F217</f>
        <v>1800000</v>
      </c>
      <c r="S217" s="92"/>
      <c r="T217" s="92"/>
      <c r="U217" s="92"/>
      <c r="V217" s="88"/>
      <c r="W217" s="149" t="s">
        <v>43</v>
      </c>
      <c r="X217" s="146" t="s">
        <v>28</v>
      </c>
    </row>
    <row r="218" customHeight="1" spans="1:24">
      <c r="A218" s="73" t="s">
        <v>436</v>
      </c>
      <c r="B218" s="74" t="s">
        <v>25</v>
      </c>
      <c r="C218" s="86" t="s">
        <v>131</v>
      </c>
      <c r="D218" s="1" t="s">
        <v>341</v>
      </c>
      <c r="E218" s="75">
        <v>0.002</v>
      </c>
      <c r="F218" s="87">
        <f>150000</f>
        <v>150000</v>
      </c>
      <c r="G218" s="88">
        <f t="shared" ref="G218:G260" si="26">F218*E218</f>
        <v>300</v>
      </c>
      <c r="H218" s="89"/>
      <c r="I218" s="120" t="str">
        <f ca="1" t="shared" si="25"/>
        <v>11/1/2025</v>
      </c>
      <c r="J218" s="130"/>
      <c r="K218" s="76" t="s">
        <v>28</v>
      </c>
      <c r="L218" s="88" t="s">
        <v>38</v>
      </c>
      <c r="M218" s="78">
        <v>5</v>
      </c>
      <c r="N218" s="91">
        <f t="shared" si="22"/>
        <v>30000</v>
      </c>
      <c r="O218" s="79" t="s">
        <v>433</v>
      </c>
      <c r="P218" s="92"/>
      <c r="Q218" s="92"/>
      <c r="R218" s="92">
        <f>F218</f>
        <v>150000</v>
      </c>
      <c r="S218" s="92"/>
      <c r="T218" s="92"/>
      <c r="U218" s="92"/>
      <c r="V218" s="103"/>
      <c r="W218" s="149" t="s">
        <v>43</v>
      </c>
      <c r="X218" s="146" t="s">
        <v>28</v>
      </c>
    </row>
    <row r="219" customHeight="1" spans="1:24">
      <c r="A219" s="73" t="s">
        <v>437</v>
      </c>
      <c r="B219" s="74" t="s">
        <v>25</v>
      </c>
      <c r="C219" s="86" t="s">
        <v>131</v>
      </c>
      <c r="D219" s="1" t="s">
        <v>341</v>
      </c>
      <c r="E219" s="75">
        <v>0.001</v>
      </c>
      <c r="F219" s="87">
        <v>670000</v>
      </c>
      <c r="G219" s="88">
        <f t="shared" si="26"/>
        <v>670</v>
      </c>
      <c r="H219" s="89"/>
      <c r="I219" s="120" t="str">
        <f ca="1" t="shared" si="25"/>
        <v>9/30/2025</v>
      </c>
      <c r="J219" s="89"/>
      <c r="K219" s="76" t="s">
        <v>28</v>
      </c>
      <c r="L219" s="88" t="s">
        <v>116</v>
      </c>
      <c r="M219" s="78">
        <v>6</v>
      </c>
      <c r="N219" s="109">
        <f t="shared" si="22"/>
        <v>111666.666666667</v>
      </c>
      <c r="O219" s="79" t="s">
        <v>433</v>
      </c>
      <c r="P219" s="135"/>
      <c r="Q219" s="135"/>
      <c r="R219" s="92">
        <f>F219</f>
        <v>670000</v>
      </c>
      <c r="U219" s="92"/>
      <c r="V219" s="88"/>
      <c r="W219" s="149" t="s">
        <v>43</v>
      </c>
      <c r="X219" s="146" t="s">
        <v>28</v>
      </c>
    </row>
    <row r="220" customHeight="1" spans="1:24">
      <c r="A220" s="73" t="s">
        <v>438</v>
      </c>
      <c r="B220" s="99" t="s">
        <v>33</v>
      </c>
      <c r="C220" s="86" t="s">
        <v>55</v>
      </c>
      <c r="D220" s="1" t="s">
        <v>341</v>
      </c>
      <c r="E220" s="75">
        <v>0.001</v>
      </c>
      <c r="F220" s="100">
        <v>30000</v>
      </c>
      <c r="G220" s="103">
        <f t="shared" si="26"/>
        <v>30</v>
      </c>
      <c r="H220" s="101"/>
      <c r="I220" s="120" t="str">
        <f ca="1" t="shared" si="25"/>
        <v>9/26/2025</v>
      </c>
      <c r="J220" s="132"/>
      <c r="K220" s="76" t="s">
        <v>28</v>
      </c>
      <c r="L220" s="103" t="s">
        <v>38</v>
      </c>
      <c r="M220" s="78">
        <v>7</v>
      </c>
      <c r="N220" s="134">
        <f t="shared" si="22"/>
        <v>4285.71428571429</v>
      </c>
      <c r="O220" s="79" t="s">
        <v>433</v>
      </c>
      <c r="P220" s="135">
        <f>F220</f>
        <v>30000</v>
      </c>
      <c r="Q220" s="135"/>
      <c r="R220" s="135"/>
      <c r="S220" s="135"/>
      <c r="T220" s="135"/>
      <c r="U220" s="135"/>
      <c r="V220" s="103"/>
      <c r="W220" s="149" t="s">
        <v>43</v>
      </c>
      <c r="X220" s="146" t="s">
        <v>28</v>
      </c>
    </row>
    <row r="221" customHeight="1" spans="1:24">
      <c r="A221" s="73" t="s">
        <v>439</v>
      </c>
      <c r="B221" s="99" t="s">
        <v>33</v>
      </c>
      <c r="C221" s="86" t="s">
        <v>55</v>
      </c>
      <c r="D221" s="1" t="s">
        <v>341</v>
      </c>
      <c r="E221" s="75">
        <v>0</v>
      </c>
      <c r="F221" s="100">
        <v>100000</v>
      </c>
      <c r="G221" s="103">
        <f t="shared" si="26"/>
        <v>0</v>
      </c>
      <c r="H221" s="101"/>
      <c r="I221" s="120" t="str">
        <f ca="1" t="shared" si="25"/>
        <v>5/15/2025</v>
      </c>
      <c r="J221" s="132"/>
      <c r="K221" s="76" t="s">
        <v>28</v>
      </c>
      <c r="L221" s="103" t="s">
        <v>35</v>
      </c>
      <c r="M221" s="78">
        <v>8</v>
      </c>
      <c r="N221" s="134">
        <f t="shared" si="22"/>
        <v>12500</v>
      </c>
      <c r="O221" s="79" t="s">
        <v>433</v>
      </c>
      <c r="P221" s="49"/>
      <c r="Q221" s="49"/>
      <c r="R221" s="135">
        <f>F221</f>
        <v>100000</v>
      </c>
      <c r="S221" s="135"/>
      <c r="T221" s="135"/>
      <c r="U221" s="135"/>
      <c r="V221" s="103"/>
      <c r="W221" s="170" t="s">
        <v>376</v>
      </c>
      <c r="X221" s="146" t="s">
        <v>28</v>
      </c>
    </row>
    <row r="222" customHeight="1" spans="1:24">
      <c r="A222" s="73" t="s">
        <v>440</v>
      </c>
      <c r="B222" s="74" t="s">
        <v>33</v>
      </c>
      <c r="C222" s="86" t="s">
        <v>88</v>
      </c>
      <c r="D222" s="1" t="s">
        <v>341</v>
      </c>
      <c r="E222" s="75">
        <v>0</v>
      </c>
      <c r="F222" s="87">
        <v>100000</v>
      </c>
      <c r="G222" s="88">
        <f t="shared" si="26"/>
        <v>0</v>
      </c>
      <c r="H222" s="89"/>
      <c r="I222" s="120" t="str">
        <f ca="1" t="shared" si="25"/>
        <v>9/11/2025</v>
      </c>
      <c r="J222" s="89"/>
      <c r="K222" s="76" t="s">
        <v>28</v>
      </c>
      <c r="L222" s="88" t="s">
        <v>38</v>
      </c>
      <c r="M222" s="78">
        <v>9</v>
      </c>
      <c r="N222" s="109">
        <f t="shared" si="22"/>
        <v>11111.1111111111</v>
      </c>
      <c r="O222" s="79" t="s">
        <v>433</v>
      </c>
      <c r="P222" s="92"/>
      <c r="Q222" s="92"/>
      <c r="R222" s="92"/>
      <c r="S222" s="92"/>
      <c r="T222" s="92"/>
      <c r="U222" s="92"/>
      <c r="V222" s="145">
        <f>F222</f>
        <v>100000</v>
      </c>
      <c r="W222" s="170" t="s">
        <v>376</v>
      </c>
      <c r="X222" s="146" t="s">
        <v>28</v>
      </c>
    </row>
    <row r="223" customHeight="1" spans="1:24">
      <c r="A223" s="73" t="s">
        <v>441</v>
      </c>
      <c r="B223" s="74" t="s">
        <v>33</v>
      </c>
      <c r="C223" s="86" t="s">
        <v>91</v>
      </c>
      <c r="D223" s="1" t="s">
        <v>341</v>
      </c>
      <c r="E223" s="75">
        <v>0</v>
      </c>
      <c r="F223" s="87">
        <v>100000</v>
      </c>
      <c r="G223" s="88">
        <f t="shared" si="26"/>
        <v>0</v>
      </c>
      <c r="H223" s="89"/>
      <c r="I223" s="120" t="str">
        <f ca="1" t="shared" si="25"/>
        <v>7/12/2025</v>
      </c>
      <c r="J223" s="89"/>
      <c r="K223" s="76" t="s">
        <v>28</v>
      </c>
      <c r="L223" s="88" t="s">
        <v>38</v>
      </c>
      <c r="M223" s="78">
        <v>10</v>
      </c>
      <c r="N223" s="109">
        <f t="shared" si="22"/>
        <v>10000</v>
      </c>
      <c r="O223" s="79" t="s">
        <v>433</v>
      </c>
      <c r="P223" s="92"/>
      <c r="Q223" s="92"/>
      <c r="R223" s="92"/>
      <c r="S223" s="92"/>
      <c r="T223" s="92"/>
      <c r="U223" s="92"/>
      <c r="V223" s="145">
        <f>F223</f>
        <v>100000</v>
      </c>
      <c r="W223" s="3" t="s">
        <v>379</v>
      </c>
      <c r="X223" s="146" t="s">
        <v>28</v>
      </c>
    </row>
    <row r="224" customHeight="1" spans="1:24">
      <c r="A224" s="114" t="s">
        <v>442</v>
      </c>
      <c r="B224" s="99" t="s">
        <v>50</v>
      </c>
      <c r="C224" s="86" t="s">
        <v>180</v>
      </c>
      <c r="D224" s="1" t="s">
        <v>341</v>
      </c>
      <c r="E224" s="75">
        <v>0</v>
      </c>
      <c r="F224" s="87">
        <v>150000</v>
      </c>
      <c r="G224" s="88">
        <f t="shared" si="26"/>
        <v>0</v>
      </c>
      <c r="H224" s="88">
        <f>G224*F224</f>
        <v>0</v>
      </c>
      <c r="I224" s="120" t="str">
        <f ca="1" t="shared" si="25"/>
        <v>6/2/2025</v>
      </c>
      <c r="J224" s="88"/>
      <c r="K224" s="76" t="s">
        <v>28</v>
      </c>
      <c r="L224" s="88" t="s">
        <v>52</v>
      </c>
      <c r="M224" s="78">
        <v>11</v>
      </c>
      <c r="N224" s="138">
        <f t="shared" si="22"/>
        <v>13636.3636363636</v>
      </c>
      <c r="O224" s="79" t="s">
        <v>433</v>
      </c>
      <c r="P224" s="92"/>
      <c r="Q224" s="92"/>
      <c r="R224" s="92"/>
      <c r="S224" s="92"/>
      <c r="T224" s="92"/>
      <c r="U224" s="92"/>
      <c r="V224" s="88">
        <f>F224</f>
        <v>150000</v>
      </c>
      <c r="W224" s="3" t="s">
        <v>379</v>
      </c>
      <c r="X224" s="146" t="s">
        <v>28</v>
      </c>
    </row>
    <row r="225" customHeight="1" spans="1:24">
      <c r="A225" s="73" t="s">
        <v>443</v>
      </c>
      <c r="B225" s="74" t="s">
        <v>33</v>
      </c>
      <c r="C225" s="86" t="s">
        <v>129</v>
      </c>
      <c r="D225" s="1" t="s">
        <v>161</v>
      </c>
      <c r="E225" s="75">
        <v>0.02</v>
      </c>
      <c r="F225" s="100">
        <v>20000</v>
      </c>
      <c r="G225" s="103">
        <f t="shared" si="26"/>
        <v>400</v>
      </c>
      <c r="H225" s="101"/>
      <c r="I225" s="120" t="str">
        <f ca="1" t="shared" si="25"/>
        <v>12/1/2025</v>
      </c>
      <c r="J225" s="132"/>
      <c r="K225" s="76" t="s">
        <v>28</v>
      </c>
      <c r="L225" s="88" t="s">
        <v>444</v>
      </c>
      <c r="M225" s="78">
        <v>12</v>
      </c>
      <c r="N225" s="138">
        <f t="shared" si="22"/>
        <v>1666.66666666667</v>
      </c>
      <c r="O225" s="79" t="s">
        <v>445</v>
      </c>
      <c r="P225" s="135"/>
      <c r="Q225" s="135"/>
      <c r="R225" s="135"/>
      <c r="S225" s="135"/>
      <c r="T225" s="135"/>
      <c r="U225" s="135"/>
      <c r="V225" s="103">
        <f>F225</f>
        <v>20000</v>
      </c>
      <c r="W225" s="3" t="s">
        <v>379</v>
      </c>
      <c r="X225" s="146" t="s">
        <v>28</v>
      </c>
    </row>
    <row r="226" customHeight="1" spans="1:24">
      <c r="A226" s="73" t="s">
        <v>446</v>
      </c>
      <c r="B226" s="74" t="s">
        <v>45</v>
      </c>
      <c r="C226" s="1" t="s">
        <v>102</v>
      </c>
      <c r="D226" s="1" t="s">
        <v>302</v>
      </c>
      <c r="E226" s="75">
        <v>0.01</v>
      </c>
      <c r="G226" s="158">
        <f t="shared" si="26"/>
        <v>0</v>
      </c>
      <c r="I226" s="120" t="str">
        <f ca="1" t="shared" si="25"/>
        <v>10/25/2025</v>
      </c>
      <c r="K226" s="76" t="s">
        <v>28</v>
      </c>
      <c r="L226" s="1" t="s">
        <v>59</v>
      </c>
      <c r="M226" s="78">
        <v>1</v>
      </c>
      <c r="N226" s="142">
        <f t="shared" si="22"/>
        <v>0</v>
      </c>
      <c r="O226" s="79" t="s">
        <v>445</v>
      </c>
      <c r="P226" s="164">
        <f>F226</f>
        <v>0</v>
      </c>
      <c r="Q226" s="164"/>
      <c r="W226" s="3" t="s">
        <v>379</v>
      </c>
      <c r="X226" s="146" t="s">
        <v>28</v>
      </c>
    </row>
    <row r="227" customHeight="1" spans="1:24">
      <c r="A227" s="73" t="s">
        <v>447</v>
      </c>
      <c r="B227" s="74" t="s">
        <v>45</v>
      </c>
      <c r="C227" s="1" t="s">
        <v>102</v>
      </c>
      <c r="D227" s="1" t="s">
        <v>341</v>
      </c>
      <c r="E227" s="75">
        <v>0.005</v>
      </c>
      <c r="F227" s="51">
        <v>15000000</v>
      </c>
      <c r="G227" s="88">
        <f t="shared" si="26"/>
        <v>75000</v>
      </c>
      <c r="I227" s="120" t="str">
        <f ca="1" t="shared" ref="I227:I236" si="27">TEXT(RANDBETWEEN(DATE(2025,1,1),DATE(2025,12,31)),"m/d/yyyy")</f>
        <v>10/16/2025</v>
      </c>
      <c r="K227" s="76" t="s">
        <v>28</v>
      </c>
      <c r="L227" s="1" t="s">
        <v>248</v>
      </c>
      <c r="M227" s="78">
        <v>3000</v>
      </c>
      <c r="N227" s="142">
        <f t="shared" si="22"/>
        <v>5000</v>
      </c>
      <c r="O227" s="79" t="s">
        <v>445</v>
      </c>
      <c r="R227" s="5">
        <f>F227</f>
        <v>15000000</v>
      </c>
      <c r="W227" s="3" t="s">
        <v>385</v>
      </c>
      <c r="X227" s="146" t="s">
        <v>28</v>
      </c>
    </row>
    <row r="228" customHeight="1" spans="1:24">
      <c r="A228" s="73" t="s">
        <v>448</v>
      </c>
      <c r="B228" s="74" t="s">
        <v>33</v>
      </c>
      <c r="C228" s="1" t="s">
        <v>146</v>
      </c>
      <c r="D228" s="1" t="s">
        <v>302</v>
      </c>
      <c r="E228" s="75">
        <v>0.018</v>
      </c>
      <c r="F228" s="51">
        <v>100000</v>
      </c>
      <c r="G228" s="88">
        <f t="shared" si="26"/>
        <v>1800</v>
      </c>
      <c r="I228" s="120" t="str">
        <f ca="1" t="shared" si="27"/>
        <v>10/25/2025</v>
      </c>
      <c r="K228" s="76" t="s">
        <v>28</v>
      </c>
      <c r="L228" s="1" t="s">
        <v>38</v>
      </c>
      <c r="M228" s="78">
        <v>380</v>
      </c>
      <c r="N228" s="142">
        <f t="shared" si="22"/>
        <v>263.157894736842</v>
      </c>
      <c r="O228" s="79" t="s">
        <v>445</v>
      </c>
      <c r="V228" s="49">
        <f>F228</f>
        <v>100000</v>
      </c>
      <c r="W228" s="3" t="s">
        <v>385</v>
      </c>
      <c r="X228" s="146" t="s">
        <v>28</v>
      </c>
    </row>
    <row r="229" customHeight="1" spans="1:24">
      <c r="A229" s="73" t="s">
        <v>449</v>
      </c>
      <c r="B229" s="74" t="s">
        <v>33</v>
      </c>
      <c r="C229" s="1" t="s">
        <v>152</v>
      </c>
      <c r="D229" s="1" t="s">
        <v>341</v>
      </c>
      <c r="E229" s="75">
        <v>0.005</v>
      </c>
      <c r="F229" s="51">
        <v>30000</v>
      </c>
      <c r="G229" s="88">
        <f t="shared" si="26"/>
        <v>150</v>
      </c>
      <c r="I229" s="120" t="str">
        <f ca="1" t="shared" si="27"/>
        <v>3/5/2025</v>
      </c>
      <c r="K229" s="76" t="s">
        <v>28</v>
      </c>
      <c r="L229" s="1" t="s">
        <v>59</v>
      </c>
      <c r="M229" s="78">
        <v>1</v>
      </c>
      <c r="N229" s="142">
        <f t="shared" si="22"/>
        <v>30000</v>
      </c>
      <c r="O229" s="79" t="s">
        <v>445</v>
      </c>
      <c r="W229" s="3" t="s">
        <v>385</v>
      </c>
      <c r="X229" s="146" t="s">
        <v>28</v>
      </c>
    </row>
    <row r="230" customHeight="1" spans="1:24">
      <c r="A230" s="73" t="s">
        <v>450</v>
      </c>
      <c r="B230" s="74" t="s">
        <v>45</v>
      </c>
      <c r="C230" s="1" t="s">
        <v>451</v>
      </c>
      <c r="D230" s="1" t="s">
        <v>302</v>
      </c>
      <c r="E230" s="75">
        <v>0.01</v>
      </c>
      <c r="F230" s="51">
        <v>250000</v>
      </c>
      <c r="G230" s="88">
        <f t="shared" si="26"/>
        <v>2500</v>
      </c>
      <c r="I230" s="120" t="str">
        <f ca="1" t="shared" si="27"/>
        <v>10/7/2025</v>
      </c>
      <c r="K230" s="76" t="s">
        <v>28</v>
      </c>
      <c r="L230" s="1" t="s">
        <v>11</v>
      </c>
      <c r="M230" s="78">
        <v>1</v>
      </c>
      <c r="N230" s="142">
        <f t="shared" si="22"/>
        <v>250000</v>
      </c>
      <c r="O230" s="79" t="s">
        <v>445</v>
      </c>
      <c r="P230" s="164">
        <f>F230</f>
        <v>250000</v>
      </c>
      <c r="Q230" s="164"/>
      <c r="W230" s="149" t="s">
        <v>43</v>
      </c>
      <c r="X230" s="146" t="s">
        <v>28</v>
      </c>
    </row>
    <row r="231" customHeight="1" spans="1:24">
      <c r="A231" s="73" t="s">
        <v>418</v>
      </c>
      <c r="B231" s="74" t="s">
        <v>33</v>
      </c>
      <c r="C231" s="1" t="s">
        <v>122</v>
      </c>
      <c r="D231" s="1" t="s">
        <v>341</v>
      </c>
      <c r="E231" s="75">
        <v>0.008</v>
      </c>
      <c r="F231" s="51">
        <v>200000</v>
      </c>
      <c r="G231" s="88">
        <f t="shared" si="26"/>
        <v>1600</v>
      </c>
      <c r="I231" s="120" t="str">
        <f ca="1" t="shared" si="27"/>
        <v>1/29/2025</v>
      </c>
      <c r="K231" s="76" t="s">
        <v>28</v>
      </c>
      <c r="L231" s="1" t="s">
        <v>11</v>
      </c>
      <c r="M231" s="78">
        <v>2</v>
      </c>
      <c r="N231" s="142">
        <f t="shared" si="22"/>
        <v>100000</v>
      </c>
      <c r="O231" s="79" t="s">
        <v>445</v>
      </c>
      <c r="V231" s="49">
        <f>F231</f>
        <v>200000</v>
      </c>
      <c r="W231" s="149" t="s">
        <v>43</v>
      </c>
      <c r="X231" s="146" t="s">
        <v>28</v>
      </c>
    </row>
    <row r="232" customHeight="1" spans="1:24">
      <c r="A232" s="73" t="s">
        <v>452</v>
      </c>
      <c r="B232" s="74" t="s">
        <v>45</v>
      </c>
      <c r="C232" s="1" t="s">
        <v>102</v>
      </c>
      <c r="D232" s="1" t="s">
        <v>341</v>
      </c>
      <c r="E232" s="75">
        <v>0.005</v>
      </c>
      <c r="F232" s="51">
        <v>200000</v>
      </c>
      <c r="G232" s="88">
        <f t="shared" si="26"/>
        <v>1000</v>
      </c>
      <c r="I232" s="120" t="str">
        <f ca="1" t="shared" si="27"/>
        <v>5/27/2025</v>
      </c>
      <c r="K232" s="76" t="s">
        <v>28</v>
      </c>
      <c r="L232" s="1" t="s">
        <v>11</v>
      </c>
      <c r="M232" s="78">
        <v>3</v>
      </c>
      <c r="N232" s="142">
        <f t="shared" si="22"/>
        <v>66666.6666666667</v>
      </c>
      <c r="O232" s="79" t="s">
        <v>445</v>
      </c>
      <c r="P232" s="164">
        <f>F232</f>
        <v>200000</v>
      </c>
      <c r="Q232" s="164"/>
      <c r="W232" s="149" t="s">
        <v>43</v>
      </c>
      <c r="X232" s="146" t="s">
        <v>28</v>
      </c>
    </row>
    <row r="233" customHeight="1" spans="1:24">
      <c r="A233" s="73" t="s">
        <v>453</v>
      </c>
      <c r="B233" s="74" t="s">
        <v>50</v>
      </c>
      <c r="C233" s="1" t="s">
        <v>51</v>
      </c>
      <c r="D233" s="1" t="s">
        <v>341</v>
      </c>
      <c r="E233" s="75">
        <v>0.01</v>
      </c>
      <c r="F233" s="51">
        <v>500000</v>
      </c>
      <c r="G233" s="88">
        <f t="shared" si="26"/>
        <v>5000</v>
      </c>
      <c r="I233" s="120" t="str">
        <f ca="1" t="shared" si="27"/>
        <v>8/14/2025</v>
      </c>
      <c r="K233" s="76" t="s">
        <v>28</v>
      </c>
      <c r="L233" s="1" t="s">
        <v>11</v>
      </c>
      <c r="M233" s="78">
        <v>4</v>
      </c>
      <c r="N233" s="142">
        <f t="shared" si="22"/>
        <v>125000</v>
      </c>
      <c r="O233" s="79" t="s">
        <v>445</v>
      </c>
      <c r="V233" s="49">
        <f>F233</f>
        <v>500000</v>
      </c>
      <c r="W233" s="149" t="s">
        <v>43</v>
      </c>
      <c r="X233" s="146" t="s">
        <v>28</v>
      </c>
    </row>
    <row r="234" customHeight="1" spans="1:24">
      <c r="A234" s="171" t="s">
        <v>454</v>
      </c>
      <c r="B234" s="172" t="s">
        <v>45</v>
      </c>
      <c r="C234" s="173" t="s">
        <v>102</v>
      </c>
      <c r="D234" s="173" t="s">
        <v>341</v>
      </c>
      <c r="E234" s="174">
        <v>0</v>
      </c>
      <c r="F234" s="175"/>
      <c r="G234" s="176">
        <f t="shared" si="26"/>
        <v>0</v>
      </c>
      <c r="H234" s="72"/>
      <c r="I234" s="120" t="str">
        <f ca="1" t="shared" si="27"/>
        <v>2/14/2025</v>
      </c>
      <c r="J234" s="180"/>
      <c r="K234" s="76" t="s">
        <v>28</v>
      </c>
      <c r="L234" s="1" t="s">
        <v>11</v>
      </c>
      <c r="M234" s="78">
        <v>5</v>
      </c>
      <c r="N234" s="181">
        <f t="shared" si="22"/>
        <v>0</v>
      </c>
      <c r="O234" s="79" t="s">
        <v>445</v>
      </c>
      <c r="P234" s="182"/>
      <c r="Q234" s="182"/>
      <c r="R234" s="184"/>
      <c r="S234" s="184"/>
      <c r="T234" s="184"/>
      <c r="U234" s="72"/>
      <c r="V234" s="72"/>
      <c r="W234" s="149" t="s">
        <v>43</v>
      </c>
      <c r="X234" s="146" t="s">
        <v>28</v>
      </c>
    </row>
    <row r="235" customHeight="1" spans="1:24">
      <c r="A235" s="73" t="s">
        <v>455</v>
      </c>
      <c r="B235" s="74" t="s">
        <v>25</v>
      </c>
      <c r="C235" s="1" t="s">
        <v>131</v>
      </c>
      <c r="D235" s="1" t="s">
        <v>302</v>
      </c>
      <c r="E235" s="75">
        <v>0.01</v>
      </c>
      <c r="F235" s="51">
        <v>2600000</v>
      </c>
      <c r="G235" s="88">
        <f t="shared" si="26"/>
        <v>26000</v>
      </c>
      <c r="I235" s="120" t="str">
        <f ca="1" t="shared" si="27"/>
        <v>7/16/2025</v>
      </c>
      <c r="K235" s="76" t="s">
        <v>28</v>
      </c>
      <c r="L235" s="1" t="s">
        <v>11</v>
      </c>
      <c r="M235" s="78">
        <v>6</v>
      </c>
      <c r="N235" s="142">
        <f t="shared" si="22"/>
        <v>433333.333333333</v>
      </c>
      <c r="O235" s="79" t="s">
        <v>445</v>
      </c>
      <c r="W235" s="149" t="s">
        <v>43</v>
      </c>
      <c r="X235" s="146" t="s">
        <v>28</v>
      </c>
    </row>
    <row r="236" customHeight="1" spans="1:24">
      <c r="A236" s="73" t="s">
        <v>456</v>
      </c>
      <c r="B236" s="74" t="s">
        <v>33</v>
      </c>
      <c r="C236" s="86" t="s">
        <v>155</v>
      </c>
      <c r="D236" s="1" t="s">
        <v>341</v>
      </c>
      <c r="E236" s="151">
        <v>0</v>
      </c>
      <c r="F236" s="87">
        <v>100000</v>
      </c>
      <c r="G236" s="88">
        <f t="shared" si="26"/>
        <v>0</v>
      </c>
      <c r="H236" s="101"/>
      <c r="I236" s="120" t="str">
        <f ca="1" t="shared" si="27"/>
        <v>8/8/2025</v>
      </c>
      <c r="J236" s="132"/>
      <c r="K236" s="76" t="s">
        <v>28</v>
      </c>
      <c r="L236" s="103" t="s">
        <v>38</v>
      </c>
      <c r="M236" s="78">
        <v>7</v>
      </c>
      <c r="N236" s="138">
        <f t="shared" si="22"/>
        <v>14285.7142857143</v>
      </c>
      <c r="O236" s="79" t="s">
        <v>445</v>
      </c>
      <c r="P236" s="135">
        <f t="shared" ref="P236:P258" si="28">F236</f>
        <v>100000</v>
      </c>
      <c r="Q236" s="135"/>
      <c r="R236" s="135"/>
      <c r="S236" s="135"/>
      <c r="T236" s="135"/>
      <c r="U236" s="135"/>
      <c r="V236" s="103"/>
      <c r="W236" s="149" t="s">
        <v>43</v>
      </c>
      <c r="X236" s="146" t="s">
        <v>28</v>
      </c>
    </row>
    <row r="237" customHeight="1" spans="1:24">
      <c r="A237" s="73" t="s">
        <v>457</v>
      </c>
      <c r="B237" s="74" t="s">
        <v>33</v>
      </c>
      <c r="C237" s="86" t="s">
        <v>155</v>
      </c>
      <c r="D237" s="1" t="s">
        <v>341</v>
      </c>
      <c r="E237" s="151">
        <v>0</v>
      </c>
      <c r="F237" s="87">
        <v>150000</v>
      </c>
      <c r="G237" s="88">
        <f t="shared" si="26"/>
        <v>0</v>
      </c>
      <c r="H237" s="101"/>
      <c r="I237" s="120" t="str">
        <f ca="1" t="shared" ref="I237:I246" si="29">TEXT(RANDBETWEEN(DATE(2025,1,1),DATE(2025,12,31)),"m/d/yyyy")</f>
        <v>11/23/2025</v>
      </c>
      <c r="J237" s="132"/>
      <c r="K237" s="76" t="s">
        <v>28</v>
      </c>
      <c r="L237" s="103" t="s">
        <v>38</v>
      </c>
      <c r="M237" s="78">
        <v>8</v>
      </c>
      <c r="N237" s="138">
        <f t="shared" si="22"/>
        <v>18750</v>
      </c>
      <c r="O237" s="79" t="s">
        <v>445</v>
      </c>
      <c r="P237" s="135">
        <f t="shared" si="28"/>
        <v>150000</v>
      </c>
      <c r="Q237" s="135"/>
      <c r="R237" s="135"/>
      <c r="S237" s="135"/>
      <c r="T237" s="135"/>
      <c r="U237" s="135"/>
      <c r="V237" s="103"/>
      <c r="W237" s="149" t="s">
        <v>43</v>
      </c>
      <c r="X237" s="146" t="s">
        <v>28</v>
      </c>
    </row>
    <row r="238" customHeight="1" spans="1:24">
      <c r="A238" s="73" t="s">
        <v>458</v>
      </c>
      <c r="B238" s="74" t="s">
        <v>33</v>
      </c>
      <c r="C238" s="86" t="s">
        <v>155</v>
      </c>
      <c r="D238" s="1" t="s">
        <v>341</v>
      </c>
      <c r="E238" s="151">
        <v>0</v>
      </c>
      <c r="F238" s="87">
        <v>15000</v>
      </c>
      <c r="G238" s="88">
        <f t="shared" si="26"/>
        <v>0</v>
      </c>
      <c r="H238" s="101"/>
      <c r="I238" s="120" t="str">
        <f ca="1" t="shared" si="29"/>
        <v>10/18/2025</v>
      </c>
      <c r="J238" s="132"/>
      <c r="K238" s="76" t="s">
        <v>28</v>
      </c>
      <c r="L238" s="103" t="s">
        <v>38</v>
      </c>
      <c r="M238" s="78">
        <v>9</v>
      </c>
      <c r="N238" s="138">
        <f t="shared" si="22"/>
        <v>1666.66666666667</v>
      </c>
      <c r="O238" s="79" t="s">
        <v>445</v>
      </c>
      <c r="P238" s="135">
        <f t="shared" si="28"/>
        <v>15000</v>
      </c>
      <c r="Q238" s="135"/>
      <c r="R238" s="135"/>
      <c r="S238" s="135"/>
      <c r="T238" s="135"/>
      <c r="U238" s="135"/>
      <c r="V238" s="103"/>
      <c r="W238" s="149" t="s">
        <v>43</v>
      </c>
      <c r="X238" s="146" t="s">
        <v>28</v>
      </c>
    </row>
    <row r="239" customHeight="1" spans="1:24">
      <c r="A239" s="73" t="s">
        <v>459</v>
      </c>
      <c r="B239" s="74" t="s">
        <v>33</v>
      </c>
      <c r="C239" s="86" t="s">
        <v>155</v>
      </c>
      <c r="D239" s="1" t="s">
        <v>341</v>
      </c>
      <c r="E239" s="151">
        <v>0</v>
      </c>
      <c r="F239" s="87">
        <v>60000</v>
      </c>
      <c r="G239" s="88">
        <f t="shared" si="26"/>
        <v>0</v>
      </c>
      <c r="H239" s="101"/>
      <c r="I239" s="120" t="str">
        <f ca="1" t="shared" si="29"/>
        <v>11/11/2025</v>
      </c>
      <c r="J239" s="132"/>
      <c r="K239" s="76" t="s">
        <v>28</v>
      </c>
      <c r="L239" s="103" t="s">
        <v>38</v>
      </c>
      <c r="M239" s="78">
        <v>10</v>
      </c>
      <c r="N239" s="138">
        <f t="shared" si="22"/>
        <v>6000</v>
      </c>
      <c r="O239" s="79" t="s">
        <v>445</v>
      </c>
      <c r="P239" s="135">
        <f t="shared" si="28"/>
        <v>60000</v>
      </c>
      <c r="Q239" s="135"/>
      <c r="R239" s="135"/>
      <c r="S239" s="135"/>
      <c r="T239" s="135"/>
      <c r="U239" s="135"/>
      <c r="V239" s="103"/>
      <c r="W239" s="149" t="s">
        <v>43</v>
      </c>
      <c r="X239" s="146" t="s">
        <v>28</v>
      </c>
    </row>
    <row r="240" customHeight="1" spans="1:24">
      <c r="A240" s="73" t="s">
        <v>460</v>
      </c>
      <c r="B240" s="74" t="s">
        <v>33</v>
      </c>
      <c r="C240" s="86" t="s">
        <v>155</v>
      </c>
      <c r="D240" s="1" t="s">
        <v>341</v>
      </c>
      <c r="E240" s="151">
        <v>0</v>
      </c>
      <c r="F240" s="87">
        <v>30000</v>
      </c>
      <c r="G240" s="103">
        <f t="shared" si="26"/>
        <v>0</v>
      </c>
      <c r="H240" s="101"/>
      <c r="I240" s="120" t="str">
        <f ca="1" t="shared" si="29"/>
        <v>11/3/2025</v>
      </c>
      <c r="J240" s="132"/>
      <c r="K240" s="76" t="s">
        <v>28</v>
      </c>
      <c r="L240" s="103" t="s">
        <v>38</v>
      </c>
      <c r="M240" s="78">
        <v>11</v>
      </c>
      <c r="N240" s="138">
        <f t="shared" si="22"/>
        <v>2727.27272727273</v>
      </c>
      <c r="O240" s="79" t="s">
        <v>445</v>
      </c>
      <c r="P240" s="135">
        <f t="shared" si="28"/>
        <v>30000</v>
      </c>
      <c r="Q240" s="135"/>
      <c r="R240" s="135"/>
      <c r="S240" s="135"/>
      <c r="T240" s="135"/>
      <c r="U240" s="135"/>
      <c r="V240" s="103"/>
      <c r="W240" s="149" t="s">
        <v>43</v>
      </c>
      <c r="X240" s="146" t="s">
        <v>28</v>
      </c>
    </row>
    <row r="241" customHeight="1" spans="1:24">
      <c r="A241" s="73" t="s">
        <v>461</v>
      </c>
      <c r="B241" s="74" t="s">
        <v>33</v>
      </c>
      <c r="C241" s="86" t="s">
        <v>155</v>
      </c>
      <c r="D241" s="1" t="s">
        <v>341</v>
      </c>
      <c r="E241" s="151">
        <v>0</v>
      </c>
      <c r="F241" s="87">
        <v>40000</v>
      </c>
      <c r="G241" s="103">
        <f t="shared" si="26"/>
        <v>0</v>
      </c>
      <c r="H241" s="101"/>
      <c r="I241" s="120" t="str">
        <f ca="1" t="shared" si="29"/>
        <v>7/13/2025</v>
      </c>
      <c r="J241" s="132"/>
      <c r="K241" s="76" t="s">
        <v>28</v>
      </c>
      <c r="L241" s="103" t="s">
        <v>38</v>
      </c>
      <c r="M241" s="78">
        <v>12</v>
      </c>
      <c r="N241" s="138">
        <f t="shared" si="22"/>
        <v>3333.33333333333</v>
      </c>
      <c r="O241" s="79" t="s">
        <v>445</v>
      </c>
      <c r="P241" s="135">
        <f t="shared" si="28"/>
        <v>40000</v>
      </c>
      <c r="Q241" s="135"/>
      <c r="R241" s="135"/>
      <c r="S241" s="135"/>
      <c r="T241" s="135"/>
      <c r="U241" s="135"/>
      <c r="V241" s="103"/>
      <c r="W241" s="149" t="s">
        <v>43</v>
      </c>
      <c r="X241" s="146" t="s">
        <v>28</v>
      </c>
    </row>
    <row r="242" customHeight="1" spans="1:24">
      <c r="A242" s="73" t="s">
        <v>462</v>
      </c>
      <c r="B242" s="74" t="s">
        <v>33</v>
      </c>
      <c r="C242" s="86" t="s">
        <v>155</v>
      </c>
      <c r="D242" s="1" t="s">
        <v>341</v>
      </c>
      <c r="E242" s="151">
        <v>0</v>
      </c>
      <c r="F242" s="87">
        <v>60000</v>
      </c>
      <c r="G242" s="103">
        <f t="shared" si="26"/>
        <v>0</v>
      </c>
      <c r="H242" s="101"/>
      <c r="I242" s="120" t="str">
        <f ca="1" t="shared" si="29"/>
        <v>11/16/2025</v>
      </c>
      <c r="J242" s="132"/>
      <c r="K242" s="76" t="s">
        <v>28</v>
      </c>
      <c r="L242" s="103" t="s">
        <v>38</v>
      </c>
      <c r="M242" s="78">
        <v>13</v>
      </c>
      <c r="N242" s="138">
        <f t="shared" si="22"/>
        <v>4615.38461538462</v>
      </c>
      <c r="O242" s="79" t="s">
        <v>445</v>
      </c>
      <c r="P242" s="135">
        <f t="shared" si="28"/>
        <v>60000</v>
      </c>
      <c r="Q242" s="135"/>
      <c r="R242" s="135"/>
      <c r="S242" s="135"/>
      <c r="T242" s="135"/>
      <c r="U242" s="135"/>
      <c r="V242" s="103"/>
      <c r="W242" s="149" t="s">
        <v>43</v>
      </c>
      <c r="X242" s="146" t="s">
        <v>28</v>
      </c>
    </row>
    <row r="243" customHeight="1" spans="1:24">
      <c r="A243" s="73" t="s">
        <v>463</v>
      </c>
      <c r="B243" s="74" t="s">
        <v>33</v>
      </c>
      <c r="C243" s="86" t="s">
        <v>155</v>
      </c>
      <c r="D243" s="1" t="s">
        <v>341</v>
      </c>
      <c r="E243" s="75">
        <v>0.0015</v>
      </c>
      <c r="F243" s="100">
        <v>60000</v>
      </c>
      <c r="G243" s="103">
        <f t="shared" si="26"/>
        <v>90</v>
      </c>
      <c r="H243" s="101"/>
      <c r="I243" s="120" t="str">
        <f ca="1" t="shared" si="29"/>
        <v>8/10/2025</v>
      </c>
      <c r="J243" s="132"/>
      <c r="K243" s="76" t="s">
        <v>28</v>
      </c>
      <c r="L243" s="103" t="s">
        <v>38</v>
      </c>
      <c r="M243" s="78">
        <v>14</v>
      </c>
      <c r="N243" s="138">
        <f t="shared" si="22"/>
        <v>4285.71428571429</v>
      </c>
      <c r="O243" s="79" t="s">
        <v>445</v>
      </c>
      <c r="P243" s="135">
        <f t="shared" si="28"/>
        <v>60000</v>
      </c>
      <c r="Q243" s="135"/>
      <c r="R243" s="135"/>
      <c r="S243" s="135"/>
      <c r="T243" s="135"/>
      <c r="U243" s="135"/>
      <c r="V243" s="103"/>
      <c r="W243" s="170" t="s">
        <v>376</v>
      </c>
      <c r="X243" s="146" t="s">
        <v>28</v>
      </c>
    </row>
    <row r="244" customHeight="1" spans="1:24">
      <c r="A244" s="73" t="s">
        <v>464</v>
      </c>
      <c r="B244" s="74" t="s">
        <v>33</v>
      </c>
      <c r="C244" s="86" t="s">
        <v>155</v>
      </c>
      <c r="D244" s="1" t="s">
        <v>341</v>
      </c>
      <c r="E244" s="75">
        <v>0.0015</v>
      </c>
      <c r="F244" s="100">
        <v>100000</v>
      </c>
      <c r="G244" s="103">
        <f t="shared" si="26"/>
        <v>150</v>
      </c>
      <c r="H244" s="101"/>
      <c r="I244" s="120" t="str">
        <f ca="1" t="shared" si="29"/>
        <v>8/10/2025</v>
      </c>
      <c r="J244" s="132"/>
      <c r="K244" s="76" t="s">
        <v>28</v>
      </c>
      <c r="L244" s="103" t="s">
        <v>38</v>
      </c>
      <c r="M244" s="78">
        <v>15</v>
      </c>
      <c r="N244" s="138">
        <f t="shared" si="22"/>
        <v>6666.66666666667</v>
      </c>
      <c r="O244" s="79" t="s">
        <v>274</v>
      </c>
      <c r="P244" s="135">
        <f t="shared" si="28"/>
        <v>100000</v>
      </c>
      <c r="Q244" s="135"/>
      <c r="R244" s="135"/>
      <c r="S244" s="135"/>
      <c r="T244" s="135"/>
      <c r="U244" s="135"/>
      <c r="V244" s="103"/>
      <c r="W244" s="170" t="s">
        <v>376</v>
      </c>
      <c r="X244" s="146" t="s">
        <v>28</v>
      </c>
    </row>
    <row r="245" customHeight="1" spans="1:24">
      <c r="A245" s="73" t="s">
        <v>465</v>
      </c>
      <c r="B245" s="74" t="s">
        <v>33</v>
      </c>
      <c r="C245" s="86" t="s">
        <v>97</v>
      </c>
      <c r="D245" s="1" t="s">
        <v>341</v>
      </c>
      <c r="E245" s="75">
        <v>0</v>
      </c>
      <c r="F245" s="100">
        <v>200000</v>
      </c>
      <c r="G245" s="103">
        <f t="shared" si="26"/>
        <v>0</v>
      </c>
      <c r="H245" s="101"/>
      <c r="I245" s="120" t="str">
        <f ca="1" t="shared" si="29"/>
        <v>5/2/2025</v>
      </c>
      <c r="J245" s="132"/>
      <c r="K245" s="76" t="s">
        <v>28</v>
      </c>
      <c r="L245" s="103" t="s">
        <v>38</v>
      </c>
      <c r="M245" s="78">
        <v>16</v>
      </c>
      <c r="N245" s="138">
        <f t="shared" si="22"/>
        <v>12500</v>
      </c>
      <c r="O245" s="79" t="s">
        <v>274</v>
      </c>
      <c r="P245" s="135">
        <f t="shared" si="28"/>
        <v>200000</v>
      </c>
      <c r="Q245" s="135"/>
      <c r="R245" s="135"/>
      <c r="S245" s="135"/>
      <c r="T245" s="135"/>
      <c r="U245" s="135"/>
      <c r="V245" s="103"/>
      <c r="W245" s="3" t="s">
        <v>379</v>
      </c>
      <c r="X245" s="146" t="s">
        <v>28</v>
      </c>
    </row>
    <row r="246" customHeight="1" spans="1:24">
      <c r="A246" s="73" t="s">
        <v>466</v>
      </c>
      <c r="B246" s="74" t="s">
        <v>33</v>
      </c>
      <c r="C246" s="86" t="s">
        <v>97</v>
      </c>
      <c r="D246" s="1" t="s">
        <v>341</v>
      </c>
      <c r="E246" s="75">
        <v>0</v>
      </c>
      <c r="F246" s="100">
        <v>20000</v>
      </c>
      <c r="G246" s="103">
        <f t="shared" si="26"/>
        <v>0</v>
      </c>
      <c r="H246" s="101"/>
      <c r="I246" s="120" t="str">
        <f ca="1" t="shared" si="29"/>
        <v>7/24/2025</v>
      </c>
      <c r="J246" s="132"/>
      <c r="K246" s="76" t="s">
        <v>28</v>
      </c>
      <c r="L246" s="103" t="s">
        <v>38</v>
      </c>
      <c r="M246" s="78">
        <v>17</v>
      </c>
      <c r="N246" s="138">
        <f t="shared" si="22"/>
        <v>1176.47058823529</v>
      </c>
      <c r="O246" s="79" t="s">
        <v>274</v>
      </c>
      <c r="P246" s="135">
        <f t="shared" si="28"/>
        <v>20000</v>
      </c>
      <c r="Q246" s="135"/>
      <c r="R246" s="135"/>
      <c r="S246" s="135"/>
      <c r="T246" s="135"/>
      <c r="U246" s="135"/>
      <c r="V246" s="103"/>
      <c r="W246" s="3" t="s">
        <v>379</v>
      </c>
      <c r="X246" s="146" t="s">
        <v>28</v>
      </c>
    </row>
    <row r="247" customHeight="1" spans="1:24">
      <c r="A247" s="73" t="s">
        <v>467</v>
      </c>
      <c r="B247" s="74" t="s">
        <v>33</v>
      </c>
      <c r="C247" s="86" t="s">
        <v>97</v>
      </c>
      <c r="D247" s="1" t="s">
        <v>341</v>
      </c>
      <c r="E247" s="75">
        <v>0</v>
      </c>
      <c r="F247" s="100">
        <v>30000</v>
      </c>
      <c r="G247" s="103">
        <f t="shared" si="26"/>
        <v>0</v>
      </c>
      <c r="H247" s="101"/>
      <c r="I247" s="120" t="str">
        <f ca="1" t="shared" ref="I247:I256" si="30">TEXT(RANDBETWEEN(DATE(2025,1,1),DATE(2025,12,31)),"m/d/yyyy")</f>
        <v>10/20/2025</v>
      </c>
      <c r="J247" s="132"/>
      <c r="K247" s="76" t="s">
        <v>28</v>
      </c>
      <c r="L247" s="103" t="s">
        <v>38</v>
      </c>
      <c r="M247" s="78">
        <v>18</v>
      </c>
      <c r="N247" s="138">
        <f t="shared" si="22"/>
        <v>1666.66666666667</v>
      </c>
      <c r="O247" s="79" t="s">
        <v>274</v>
      </c>
      <c r="P247" s="135">
        <f t="shared" si="28"/>
        <v>30000</v>
      </c>
      <c r="Q247" s="135"/>
      <c r="R247" s="135"/>
      <c r="S247" s="135"/>
      <c r="T247" s="135"/>
      <c r="U247" s="135"/>
      <c r="V247" s="103"/>
      <c r="W247" s="3" t="s">
        <v>379</v>
      </c>
      <c r="X247" s="146" t="s">
        <v>28</v>
      </c>
    </row>
    <row r="248" customHeight="1" spans="1:24">
      <c r="A248" s="73" t="s">
        <v>468</v>
      </c>
      <c r="B248" s="74" t="s">
        <v>33</v>
      </c>
      <c r="C248" s="86" t="s">
        <v>97</v>
      </c>
      <c r="D248" s="1" t="s">
        <v>341</v>
      </c>
      <c r="E248" s="75">
        <v>0</v>
      </c>
      <c r="F248" s="100">
        <v>100000</v>
      </c>
      <c r="G248" s="103">
        <f t="shared" si="26"/>
        <v>0</v>
      </c>
      <c r="H248" s="101"/>
      <c r="I248" s="120" t="str">
        <f ca="1" t="shared" si="30"/>
        <v>8/31/2025</v>
      </c>
      <c r="J248" s="132"/>
      <c r="K248" s="76" t="s">
        <v>28</v>
      </c>
      <c r="L248" s="103" t="s">
        <v>38</v>
      </c>
      <c r="M248" s="78">
        <v>19</v>
      </c>
      <c r="N248" s="138">
        <f t="shared" si="22"/>
        <v>5263.15789473684</v>
      </c>
      <c r="O248" s="79" t="s">
        <v>274</v>
      </c>
      <c r="P248" s="135">
        <f t="shared" si="28"/>
        <v>100000</v>
      </c>
      <c r="Q248" s="135"/>
      <c r="R248" s="135"/>
      <c r="S248" s="135"/>
      <c r="T248" s="135"/>
      <c r="U248" s="135"/>
      <c r="V248" s="103"/>
      <c r="W248" s="3" t="s">
        <v>379</v>
      </c>
      <c r="X248" s="146" t="s">
        <v>28</v>
      </c>
    </row>
    <row r="249" customHeight="1" spans="1:24">
      <c r="A249" s="73" t="s">
        <v>469</v>
      </c>
      <c r="B249" s="74" t="s">
        <v>33</v>
      </c>
      <c r="C249" s="86" t="s">
        <v>97</v>
      </c>
      <c r="D249" s="1" t="s">
        <v>341</v>
      </c>
      <c r="E249" s="75">
        <v>0</v>
      </c>
      <c r="F249" s="100">
        <v>50000</v>
      </c>
      <c r="G249" s="103">
        <f t="shared" si="26"/>
        <v>0</v>
      </c>
      <c r="H249" s="101"/>
      <c r="I249" s="120" t="str">
        <f ca="1" t="shared" si="30"/>
        <v>3/30/2025</v>
      </c>
      <c r="J249" s="132"/>
      <c r="K249" s="76" t="s">
        <v>28</v>
      </c>
      <c r="L249" s="103" t="s">
        <v>38</v>
      </c>
      <c r="M249" s="78">
        <v>20</v>
      </c>
      <c r="N249" s="138">
        <f t="shared" si="22"/>
        <v>2500</v>
      </c>
      <c r="O249" s="79" t="s">
        <v>274</v>
      </c>
      <c r="P249" s="135">
        <f t="shared" si="28"/>
        <v>50000</v>
      </c>
      <c r="Q249" s="135"/>
      <c r="R249" s="135"/>
      <c r="S249" s="135"/>
      <c r="T249" s="135"/>
      <c r="U249" s="135"/>
      <c r="V249" s="103"/>
      <c r="W249" s="3" t="s">
        <v>385</v>
      </c>
      <c r="X249" s="146" t="s">
        <v>28</v>
      </c>
    </row>
    <row r="250" customHeight="1" spans="1:24">
      <c r="A250" s="73" t="s">
        <v>470</v>
      </c>
      <c r="B250" s="74" t="s">
        <v>33</v>
      </c>
      <c r="C250" s="86" t="s">
        <v>97</v>
      </c>
      <c r="D250" s="1" t="s">
        <v>341</v>
      </c>
      <c r="E250" s="75">
        <v>0</v>
      </c>
      <c r="F250" s="100">
        <v>10000</v>
      </c>
      <c r="G250" s="103">
        <f t="shared" si="26"/>
        <v>0</v>
      </c>
      <c r="H250" s="101"/>
      <c r="I250" s="120" t="str">
        <f ca="1" t="shared" si="30"/>
        <v>4/17/2025</v>
      </c>
      <c r="J250" s="132"/>
      <c r="K250" s="76" t="s">
        <v>28</v>
      </c>
      <c r="L250" s="103" t="s">
        <v>38</v>
      </c>
      <c r="M250" s="78">
        <v>21</v>
      </c>
      <c r="N250" s="138">
        <f t="shared" si="22"/>
        <v>476.190476190476</v>
      </c>
      <c r="O250" s="79" t="s">
        <v>274</v>
      </c>
      <c r="P250" s="135">
        <f t="shared" si="28"/>
        <v>10000</v>
      </c>
      <c r="Q250" s="135"/>
      <c r="R250" s="135"/>
      <c r="S250" s="135"/>
      <c r="T250" s="135"/>
      <c r="U250" s="135"/>
      <c r="V250" s="103"/>
      <c r="W250" s="3" t="s">
        <v>385</v>
      </c>
      <c r="X250" s="146" t="s">
        <v>28</v>
      </c>
    </row>
    <row r="251" customHeight="1" spans="1:24">
      <c r="A251" s="73" t="s">
        <v>471</v>
      </c>
      <c r="B251" s="74" t="s">
        <v>33</v>
      </c>
      <c r="C251" s="86" t="s">
        <v>97</v>
      </c>
      <c r="D251" s="1" t="s">
        <v>341</v>
      </c>
      <c r="E251" s="75">
        <v>0</v>
      </c>
      <c r="F251" s="100">
        <v>12000</v>
      </c>
      <c r="G251" s="103">
        <f t="shared" si="26"/>
        <v>0</v>
      </c>
      <c r="H251" s="101"/>
      <c r="I251" s="120" t="str">
        <f ca="1" t="shared" si="30"/>
        <v>6/15/2025</v>
      </c>
      <c r="J251" s="132"/>
      <c r="K251" s="76" t="s">
        <v>28</v>
      </c>
      <c r="L251" s="103" t="s">
        <v>38</v>
      </c>
      <c r="M251" s="78">
        <v>22</v>
      </c>
      <c r="N251" s="138">
        <f t="shared" si="22"/>
        <v>545.454545454545</v>
      </c>
      <c r="O251" s="79" t="s">
        <v>274</v>
      </c>
      <c r="P251" s="135">
        <f t="shared" si="28"/>
        <v>12000</v>
      </c>
      <c r="Q251" s="135"/>
      <c r="R251" s="135"/>
      <c r="S251" s="135"/>
      <c r="T251" s="135"/>
      <c r="U251" s="135"/>
      <c r="V251" s="103"/>
      <c r="W251" s="3" t="s">
        <v>385</v>
      </c>
      <c r="X251" s="146" t="s">
        <v>28</v>
      </c>
    </row>
    <row r="252" customHeight="1" spans="1:24">
      <c r="A252" s="73" t="s">
        <v>472</v>
      </c>
      <c r="B252" s="74" t="s">
        <v>33</v>
      </c>
      <c r="C252" s="86" t="s">
        <v>97</v>
      </c>
      <c r="D252" s="1" t="s">
        <v>341</v>
      </c>
      <c r="E252" s="75">
        <v>0</v>
      </c>
      <c r="F252" s="100">
        <v>100000</v>
      </c>
      <c r="G252" s="103">
        <f t="shared" si="26"/>
        <v>0</v>
      </c>
      <c r="H252" s="101"/>
      <c r="I252" s="120" t="str">
        <f ca="1" t="shared" si="30"/>
        <v>8/23/2025</v>
      </c>
      <c r="J252" s="132"/>
      <c r="K252" s="76" t="s">
        <v>28</v>
      </c>
      <c r="L252" s="103" t="s">
        <v>38</v>
      </c>
      <c r="M252" s="78">
        <v>23</v>
      </c>
      <c r="N252" s="138">
        <f t="shared" si="22"/>
        <v>4347.82608695652</v>
      </c>
      <c r="O252" s="79" t="s">
        <v>274</v>
      </c>
      <c r="P252" s="135">
        <f t="shared" si="28"/>
        <v>100000</v>
      </c>
      <c r="Q252" s="135"/>
      <c r="R252" s="135"/>
      <c r="S252" s="135"/>
      <c r="T252" s="135"/>
      <c r="U252" s="135"/>
      <c r="V252" s="103"/>
      <c r="W252" s="149" t="s">
        <v>43</v>
      </c>
      <c r="X252" s="146" t="s">
        <v>28</v>
      </c>
    </row>
    <row r="253" customHeight="1" spans="1:24">
      <c r="A253" s="73" t="s">
        <v>473</v>
      </c>
      <c r="B253" s="74" t="s">
        <v>33</v>
      </c>
      <c r="C253" s="86" t="s">
        <v>97</v>
      </c>
      <c r="D253" s="1" t="s">
        <v>341</v>
      </c>
      <c r="E253" s="75">
        <v>0</v>
      </c>
      <c r="F253" s="100">
        <v>140000</v>
      </c>
      <c r="G253" s="103">
        <f t="shared" si="26"/>
        <v>0</v>
      </c>
      <c r="H253" s="101"/>
      <c r="I253" s="120" t="str">
        <f ca="1" t="shared" si="30"/>
        <v>10/31/2025</v>
      </c>
      <c r="J253" s="132"/>
      <c r="K253" s="76" t="s">
        <v>28</v>
      </c>
      <c r="L253" s="103" t="s">
        <v>38</v>
      </c>
      <c r="M253" s="78">
        <v>24</v>
      </c>
      <c r="N253" s="138">
        <f t="shared" si="22"/>
        <v>5833.33333333333</v>
      </c>
      <c r="O253" s="79" t="s">
        <v>274</v>
      </c>
      <c r="P253" s="135">
        <f t="shared" si="28"/>
        <v>140000</v>
      </c>
      <c r="Q253" s="135"/>
      <c r="R253" s="135"/>
      <c r="S253" s="135"/>
      <c r="T253" s="135"/>
      <c r="U253" s="135"/>
      <c r="V253" s="103"/>
      <c r="W253" s="149" t="s">
        <v>43</v>
      </c>
      <c r="X253" s="146" t="s">
        <v>28</v>
      </c>
    </row>
    <row r="254" customHeight="1" spans="1:24">
      <c r="A254" s="73" t="s">
        <v>474</v>
      </c>
      <c r="B254" s="74" t="s">
        <v>33</v>
      </c>
      <c r="C254" s="86" t="s">
        <v>97</v>
      </c>
      <c r="D254" s="1" t="s">
        <v>341</v>
      </c>
      <c r="E254" s="75">
        <v>0</v>
      </c>
      <c r="F254" s="100">
        <v>60000</v>
      </c>
      <c r="G254" s="103">
        <f t="shared" si="26"/>
        <v>0</v>
      </c>
      <c r="H254" s="101"/>
      <c r="I254" s="120" t="str">
        <f ca="1" t="shared" si="30"/>
        <v>4/13/2025</v>
      </c>
      <c r="J254" s="132"/>
      <c r="K254" s="76" t="s">
        <v>28</v>
      </c>
      <c r="L254" s="103" t="s">
        <v>38</v>
      </c>
      <c r="M254" s="78">
        <v>25</v>
      </c>
      <c r="N254" s="138">
        <f t="shared" si="22"/>
        <v>2400</v>
      </c>
      <c r="O254" s="79" t="s">
        <v>274</v>
      </c>
      <c r="P254" s="135">
        <f t="shared" si="28"/>
        <v>60000</v>
      </c>
      <c r="Q254" s="135"/>
      <c r="R254" s="135"/>
      <c r="S254" s="135"/>
      <c r="T254" s="135"/>
      <c r="U254" s="135"/>
      <c r="V254" s="103"/>
      <c r="W254" s="149" t="s">
        <v>43</v>
      </c>
      <c r="X254" s="146" t="s">
        <v>28</v>
      </c>
    </row>
    <row r="255" customHeight="1" spans="1:24">
      <c r="A255" s="73" t="s">
        <v>475</v>
      </c>
      <c r="B255" s="74" t="s">
        <v>33</v>
      </c>
      <c r="C255" s="86" t="s">
        <v>97</v>
      </c>
      <c r="D255" s="1" t="s">
        <v>341</v>
      </c>
      <c r="E255" s="75">
        <v>0</v>
      </c>
      <c r="F255" s="100">
        <v>30000</v>
      </c>
      <c r="G255" s="103">
        <f t="shared" si="26"/>
        <v>0</v>
      </c>
      <c r="H255" s="101"/>
      <c r="I255" s="120" t="str">
        <f ca="1" t="shared" si="30"/>
        <v>7/6/2025</v>
      </c>
      <c r="J255" s="132"/>
      <c r="K255" s="76" t="s">
        <v>28</v>
      </c>
      <c r="L255" s="103" t="s">
        <v>38</v>
      </c>
      <c r="M255" s="78">
        <v>26</v>
      </c>
      <c r="N255" s="138">
        <f t="shared" si="22"/>
        <v>1153.84615384615</v>
      </c>
      <c r="O255" s="79" t="s">
        <v>274</v>
      </c>
      <c r="P255" s="135">
        <f t="shared" si="28"/>
        <v>30000</v>
      </c>
      <c r="Q255" s="135"/>
      <c r="R255" s="135"/>
      <c r="S255" s="135"/>
      <c r="T255" s="135"/>
      <c r="U255" s="135"/>
      <c r="V255" s="103"/>
      <c r="W255" s="149" t="s">
        <v>43</v>
      </c>
      <c r="X255" s="146" t="s">
        <v>28</v>
      </c>
    </row>
    <row r="256" customHeight="1" spans="1:24">
      <c r="A256" s="73" t="s">
        <v>476</v>
      </c>
      <c r="B256" s="74" t="s">
        <v>33</v>
      </c>
      <c r="C256" s="86" t="s">
        <v>97</v>
      </c>
      <c r="D256" s="1" t="s">
        <v>341</v>
      </c>
      <c r="E256" s="75">
        <v>0</v>
      </c>
      <c r="F256" s="100">
        <v>60000</v>
      </c>
      <c r="G256" s="103">
        <f t="shared" si="26"/>
        <v>0</v>
      </c>
      <c r="H256" s="101"/>
      <c r="I256" s="120" t="str">
        <f ca="1" t="shared" si="30"/>
        <v>9/22/2025</v>
      </c>
      <c r="J256" s="132"/>
      <c r="K256" s="76" t="s">
        <v>28</v>
      </c>
      <c r="L256" s="103" t="s">
        <v>38</v>
      </c>
      <c r="M256" s="78">
        <v>27</v>
      </c>
      <c r="N256" s="138">
        <f t="shared" si="22"/>
        <v>2222.22222222222</v>
      </c>
      <c r="O256" s="79" t="s">
        <v>274</v>
      </c>
      <c r="P256" s="135">
        <f t="shared" si="28"/>
        <v>60000</v>
      </c>
      <c r="Q256" s="135"/>
      <c r="R256" s="135"/>
      <c r="S256" s="135"/>
      <c r="T256" s="135"/>
      <c r="U256" s="135"/>
      <c r="V256" s="103"/>
      <c r="W256" s="149" t="s">
        <v>43</v>
      </c>
      <c r="X256" s="146" t="s">
        <v>28</v>
      </c>
    </row>
    <row r="257" customHeight="1" spans="1:24">
      <c r="A257" s="73" t="s">
        <v>477</v>
      </c>
      <c r="B257" s="74" t="s">
        <v>33</v>
      </c>
      <c r="C257" s="86" t="s">
        <v>97</v>
      </c>
      <c r="D257" s="1" t="s">
        <v>341</v>
      </c>
      <c r="E257" s="75">
        <v>0</v>
      </c>
      <c r="F257" s="100">
        <v>60000</v>
      </c>
      <c r="G257" s="103">
        <f t="shared" si="26"/>
        <v>0</v>
      </c>
      <c r="H257" s="101"/>
      <c r="I257" s="120" t="str">
        <f ca="1" t="shared" ref="I257:I267" si="31">TEXT(RANDBETWEEN(DATE(2025,1,1),DATE(2025,12,31)),"m/d/yyyy")</f>
        <v>2/19/2025</v>
      </c>
      <c r="J257" s="132"/>
      <c r="K257" s="76" t="s">
        <v>28</v>
      </c>
      <c r="L257" s="103" t="s">
        <v>38</v>
      </c>
      <c r="M257" s="78">
        <v>28</v>
      </c>
      <c r="N257" s="138">
        <f t="shared" si="22"/>
        <v>2142.85714285714</v>
      </c>
      <c r="O257" s="79" t="s">
        <v>274</v>
      </c>
      <c r="P257" s="135">
        <f t="shared" si="28"/>
        <v>60000</v>
      </c>
      <c r="Q257" s="135"/>
      <c r="R257" s="135"/>
      <c r="S257" s="135"/>
      <c r="T257" s="135"/>
      <c r="U257" s="135"/>
      <c r="V257" s="103"/>
      <c r="W257" s="149" t="s">
        <v>43</v>
      </c>
      <c r="X257" s="146" t="s">
        <v>28</v>
      </c>
    </row>
    <row r="258" customHeight="1" spans="1:24">
      <c r="A258" s="73" t="s">
        <v>478</v>
      </c>
      <c r="B258" s="74" t="s">
        <v>33</v>
      </c>
      <c r="C258" s="86" t="s">
        <v>97</v>
      </c>
      <c r="D258" s="1" t="s">
        <v>341</v>
      </c>
      <c r="E258" s="75">
        <v>0</v>
      </c>
      <c r="F258" s="100">
        <v>100000</v>
      </c>
      <c r="G258" s="103">
        <f t="shared" si="26"/>
        <v>0</v>
      </c>
      <c r="H258" s="101"/>
      <c r="I258" s="120" t="str">
        <f ca="1" t="shared" si="31"/>
        <v>7/26/2025</v>
      </c>
      <c r="J258" s="132"/>
      <c r="K258" s="76" t="s">
        <v>28</v>
      </c>
      <c r="L258" s="103" t="s">
        <v>38</v>
      </c>
      <c r="M258" s="78">
        <v>29</v>
      </c>
      <c r="N258" s="138">
        <f t="shared" si="22"/>
        <v>3448.27586206897</v>
      </c>
      <c r="O258" s="79" t="s">
        <v>274</v>
      </c>
      <c r="P258" s="135">
        <f t="shared" si="28"/>
        <v>100000</v>
      </c>
      <c r="Q258" s="135"/>
      <c r="R258" s="135"/>
      <c r="S258" s="135"/>
      <c r="T258" s="135"/>
      <c r="U258" s="135"/>
      <c r="V258" s="103"/>
      <c r="W258" s="149" t="s">
        <v>43</v>
      </c>
      <c r="X258" s="146" t="s">
        <v>28</v>
      </c>
    </row>
    <row r="259" customHeight="1" spans="1:24">
      <c r="A259" s="73" t="s">
        <v>479</v>
      </c>
      <c r="B259" s="74" t="s">
        <v>33</v>
      </c>
      <c r="C259" s="86" t="s">
        <v>129</v>
      </c>
      <c r="D259" s="1" t="s">
        <v>341</v>
      </c>
      <c r="E259" s="75">
        <v>0</v>
      </c>
      <c r="F259" s="100">
        <v>100000</v>
      </c>
      <c r="G259" s="103">
        <f t="shared" si="26"/>
        <v>0</v>
      </c>
      <c r="H259" s="101"/>
      <c r="I259" s="120" t="str">
        <f ca="1" t="shared" si="31"/>
        <v>11/4/2025</v>
      </c>
      <c r="J259" s="132"/>
      <c r="K259" s="76" t="s">
        <v>28</v>
      </c>
      <c r="L259" s="103" t="s">
        <v>38</v>
      </c>
      <c r="M259" s="78">
        <v>30</v>
      </c>
      <c r="N259" s="138">
        <f t="shared" si="22"/>
        <v>3333.33333333333</v>
      </c>
      <c r="O259" s="79" t="s">
        <v>274</v>
      </c>
      <c r="P259" s="135"/>
      <c r="Q259" s="135"/>
      <c r="R259" s="135"/>
      <c r="S259" s="135"/>
      <c r="T259" s="135"/>
      <c r="U259" s="135"/>
      <c r="V259" s="103">
        <f>F259</f>
        <v>100000</v>
      </c>
      <c r="W259" s="149" t="s">
        <v>43</v>
      </c>
      <c r="X259" s="146" t="s">
        <v>28</v>
      </c>
    </row>
    <row r="260" customHeight="1" spans="1:24">
      <c r="A260" s="73" t="s">
        <v>480</v>
      </c>
      <c r="B260" s="74" t="s">
        <v>33</v>
      </c>
      <c r="C260" s="86" t="s">
        <v>129</v>
      </c>
      <c r="D260" s="1" t="s">
        <v>341</v>
      </c>
      <c r="E260" s="75">
        <v>0</v>
      </c>
      <c r="F260" s="100">
        <v>50000</v>
      </c>
      <c r="G260" s="103">
        <f t="shared" si="26"/>
        <v>0</v>
      </c>
      <c r="H260" s="101"/>
      <c r="I260" s="120" t="str">
        <f ca="1" t="shared" si="31"/>
        <v>8/7/2025</v>
      </c>
      <c r="J260" s="132"/>
      <c r="K260" s="76" t="s">
        <v>28</v>
      </c>
      <c r="L260" s="103" t="s">
        <v>38</v>
      </c>
      <c r="M260" s="78">
        <v>31</v>
      </c>
      <c r="N260" s="138">
        <f t="shared" si="22"/>
        <v>1612.90322580645</v>
      </c>
      <c r="O260" s="79" t="s">
        <v>274</v>
      </c>
      <c r="P260" s="135"/>
      <c r="Q260" s="135"/>
      <c r="R260" s="135"/>
      <c r="S260" s="135"/>
      <c r="T260" s="135"/>
      <c r="U260" s="135"/>
      <c r="V260" s="103">
        <f t="shared" ref="V260:V265" si="32">F260</f>
        <v>50000</v>
      </c>
      <c r="W260" s="149" t="s">
        <v>43</v>
      </c>
      <c r="X260" s="146" t="s">
        <v>28</v>
      </c>
    </row>
    <row r="261" customHeight="1" spans="1:24">
      <c r="A261" s="171" t="s">
        <v>481</v>
      </c>
      <c r="B261" s="172" t="s">
        <v>25</v>
      </c>
      <c r="C261" s="185" t="s">
        <v>131</v>
      </c>
      <c r="D261" s="173" t="s">
        <v>341</v>
      </c>
      <c r="E261" s="186">
        <v>0</v>
      </c>
      <c r="F261" s="187">
        <v>75565</v>
      </c>
      <c r="G261" s="176">
        <f>E261*F261</f>
        <v>0</v>
      </c>
      <c r="H261" s="89"/>
      <c r="I261" s="120" t="str">
        <f ca="1" t="shared" si="31"/>
        <v>8/4/2025</v>
      </c>
      <c r="J261" s="89"/>
      <c r="K261" s="76" t="s">
        <v>28</v>
      </c>
      <c r="L261" s="176" t="s">
        <v>68</v>
      </c>
      <c r="M261" s="193">
        <v>1</v>
      </c>
      <c r="N261" s="194">
        <f t="shared" si="22"/>
        <v>75565</v>
      </c>
      <c r="O261" s="79" t="s">
        <v>274</v>
      </c>
      <c r="Q261" s="147">
        <f>F261</f>
        <v>75565</v>
      </c>
      <c r="R261" s="147"/>
      <c r="S261" s="147"/>
      <c r="T261" s="147"/>
      <c r="U261" s="147"/>
      <c r="V261" s="176"/>
      <c r="W261" s="149" t="s">
        <v>43</v>
      </c>
      <c r="X261" s="146" t="s">
        <v>28</v>
      </c>
    </row>
    <row r="262" customHeight="1" spans="1:24">
      <c r="A262" s="73" t="s">
        <v>482</v>
      </c>
      <c r="B262" s="74" t="s">
        <v>33</v>
      </c>
      <c r="C262" s="1" t="s">
        <v>129</v>
      </c>
      <c r="D262" s="1" t="s">
        <v>161</v>
      </c>
      <c r="E262" s="75">
        <v>0.02</v>
      </c>
      <c r="F262" s="51">
        <v>57800</v>
      </c>
      <c r="G262" s="88">
        <f>E262*F262</f>
        <v>1156</v>
      </c>
      <c r="I262" s="120" t="str">
        <f ca="1" t="shared" si="31"/>
        <v>7/4/2025</v>
      </c>
      <c r="K262" s="76" t="s">
        <v>28</v>
      </c>
      <c r="L262" s="1" t="s">
        <v>483</v>
      </c>
      <c r="M262" s="78">
        <v>10</v>
      </c>
      <c r="N262" s="138">
        <f t="shared" si="22"/>
        <v>5780</v>
      </c>
      <c r="O262" s="79" t="s">
        <v>484</v>
      </c>
      <c r="V262" s="49">
        <f t="shared" si="32"/>
        <v>57800</v>
      </c>
      <c r="W262" s="149" t="s">
        <v>43</v>
      </c>
      <c r="X262" s="146" t="s">
        <v>28</v>
      </c>
    </row>
    <row r="263" customHeight="1" spans="1:24">
      <c r="A263" s="73" t="s">
        <v>485</v>
      </c>
      <c r="B263" s="74" t="s">
        <v>33</v>
      </c>
      <c r="C263" s="1" t="s">
        <v>129</v>
      </c>
      <c r="D263" s="1" t="s">
        <v>161</v>
      </c>
      <c r="E263" s="75">
        <v>0.02</v>
      </c>
      <c r="F263" s="51">
        <v>41600</v>
      </c>
      <c r="G263" s="88">
        <f>E263*F263</f>
        <v>832</v>
      </c>
      <c r="I263" s="120" t="str">
        <f ca="1" t="shared" si="31"/>
        <v>8/22/2025</v>
      </c>
      <c r="K263" s="76" t="s">
        <v>28</v>
      </c>
      <c r="L263" s="1" t="s">
        <v>483</v>
      </c>
      <c r="M263" s="78">
        <v>11</v>
      </c>
      <c r="N263" s="138">
        <f t="shared" si="22"/>
        <v>3781.81818181818</v>
      </c>
      <c r="O263" s="79" t="s">
        <v>484</v>
      </c>
      <c r="V263" s="49">
        <f t="shared" si="32"/>
        <v>41600</v>
      </c>
      <c r="W263" s="149" t="s">
        <v>43</v>
      </c>
      <c r="X263" s="146" t="s">
        <v>28</v>
      </c>
    </row>
    <row r="264" customHeight="1" spans="1:24">
      <c r="A264" s="73" t="s">
        <v>486</v>
      </c>
      <c r="B264" s="74" t="s">
        <v>45</v>
      </c>
      <c r="C264" s="1" t="s">
        <v>46</v>
      </c>
      <c r="D264" s="1" t="s">
        <v>341</v>
      </c>
      <c r="E264" s="75">
        <v>0</v>
      </c>
      <c r="F264" s="51">
        <f>13600*6</f>
        <v>81600</v>
      </c>
      <c r="G264" s="55">
        <f>E264*F264</f>
        <v>0</v>
      </c>
      <c r="I264" s="120" t="str">
        <f ca="1" t="shared" si="31"/>
        <v>11/14/2025</v>
      </c>
      <c r="K264" s="76" t="s">
        <v>28</v>
      </c>
      <c r="L264" s="1" t="s">
        <v>483</v>
      </c>
      <c r="M264" s="78">
        <v>12</v>
      </c>
      <c r="N264" s="138">
        <f t="shared" si="22"/>
        <v>6800</v>
      </c>
      <c r="O264" s="79" t="s">
        <v>484</v>
      </c>
      <c r="W264" s="149" t="s">
        <v>43</v>
      </c>
      <c r="X264" s="146" t="s">
        <v>28</v>
      </c>
    </row>
    <row r="265" customHeight="1" spans="1:24">
      <c r="A265" s="73" t="s">
        <v>487</v>
      </c>
      <c r="B265" s="74" t="s">
        <v>33</v>
      </c>
      <c r="C265" s="1" t="s">
        <v>126</v>
      </c>
      <c r="D265" s="1" t="s">
        <v>302</v>
      </c>
      <c r="E265" s="75">
        <v>0.016</v>
      </c>
      <c r="F265" s="51">
        <v>20000</v>
      </c>
      <c r="G265" s="55">
        <f>E265*F265</f>
        <v>320</v>
      </c>
      <c r="I265" s="120" t="str">
        <f ca="1" t="shared" si="31"/>
        <v>3/24/2025</v>
      </c>
      <c r="K265" s="76" t="s">
        <v>28</v>
      </c>
      <c r="L265" s="1" t="s">
        <v>483</v>
      </c>
      <c r="M265" s="78">
        <v>13</v>
      </c>
      <c r="N265" s="138">
        <f t="shared" si="22"/>
        <v>1538.46153846154</v>
      </c>
      <c r="O265" s="79" t="s">
        <v>484</v>
      </c>
      <c r="V265" s="3">
        <f t="shared" si="32"/>
        <v>20000</v>
      </c>
      <c r="W265" s="170" t="s">
        <v>376</v>
      </c>
      <c r="X265" s="146" t="s">
        <v>28</v>
      </c>
    </row>
    <row r="266" customHeight="1" spans="1:24">
      <c r="A266" s="73" t="s">
        <v>488</v>
      </c>
      <c r="B266" s="74" t="s">
        <v>33</v>
      </c>
      <c r="C266" s="1" t="s">
        <v>122</v>
      </c>
      <c r="D266" s="1" t="s">
        <v>341</v>
      </c>
      <c r="E266" s="75">
        <v>0.002</v>
      </c>
      <c r="F266" s="51">
        <v>50000</v>
      </c>
      <c r="G266" s="55"/>
      <c r="I266" s="120" t="str">
        <f ca="1" t="shared" si="31"/>
        <v>1/19/2025</v>
      </c>
      <c r="K266" s="76" t="s">
        <v>28</v>
      </c>
      <c r="L266" s="1" t="s">
        <v>483</v>
      </c>
      <c r="M266" s="78">
        <v>14</v>
      </c>
      <c r="N266" s="138">
        <f t="shared" si="22"/>
        <v>3571.42857142857</v>
      </c>
      <c r="O266" s="79" t="s">
        <v>484</v>
      </c>
      <c r="W266" s="170" t="s">
        <v>376</v>
      </c>
      <c r="X266" s="146" t="s">
        <v>28</v>
      </c>
    </row>
    <row r="267" customHeight="1" spans="1:24">
      <c r="A267" s="73" t="s">
        <v>489</v>
      </c>
      <c r="B267" s="99" t="s">
        <v>33</v>
      </c>
      <c r="C267" s="86" t="s">
        <v>55</v>
      </c>
      <c r="D267" s="1" t="s">
        <v>341</v>
      </c>
      <c r="E267" s="75">
        <v>0</v>
      </c>
      <c r="F267" s="87">
        <v>20000</v>
      </c>
      <c r="G267" s="88">
        <f>F267*E267</f>
        <v>0</v>
      </c>
      <c r="H267" s="89"/>
      <c r="I267" s="120" t="str">
        <f ca="1">TEXT(RANDBETWEEN(DATE(2025,1,1),DATE(2025,12,31)),"m/d/yyyy")</f>
        <v>8/8/2025</v>
      </c>
      <c r="J267" s="130"/>
      <c r="K267" s="76" t="s">
        <v>28</v>
      </c>
      <c r="L267" s="88" t="s">
        <v>38</v>
      </c>
      <c r="N267" s="109" t="e">
        <f t="shared" ref="N267:N275" si="33">F267/M267</f>
        <v>#DIV/0!</v>
      </c>
      <c r="O267" s="79" t="s">
        <v>56</v>
      </c>
      <c r="P267" s="92"/>
      <c r="Q267" s="92"/>
      <c r="R267" s="92">
        <f>F267</f>
        <v>20000</v>
      </c>
      <c r="S267" s="92"/>
      <c r="T267" s="92"/>
      <c r="U267" s="92"/>
      <c r="V267" s="88"/>
      <c r="W267" s="3" t="s">
        <v>379</v>
      </c>
      <c r="X267" s="146" t="s">
        <v>28</v>
      </c>
    </row>
    <row r="268" customHeight="1" spans="1:24">
      <c r="A268" s="73" t="s">
        <v>490</v>
      </c>
      <c r="B268" s="74" t="s">
        <v>33</v>
      </c>
      <c r="C268" s="86" t="s">
        <v>71</v>
      </c>
      <c r="D268" s="1" t="s">
        <v>341</v>
      </c>
      <c r="E268" s="75">
        <v>0.001</v>
      </c>
      <c r="F268" s="87">
        <f>42488000</f>
        <v>42488000</v>
      </c>
      <c r="G268" s="88">
        <f>F268*E268</f>
        <v>42488</v>
      </c>
      <c r="H268" s="89">
        <v>0</v>
      </c>
      <c r="I268" s="120" t="str">
        <f ca="1" t="shared" ref="I268:I281" si="34">TEXT(RANDBETWEEN(DATE(2025,1,1),DATE(2025,12,31)),"m/d/yyyy")</f>
        <v>8/8/2025</v>
      </c>
      <c r="J268" s="89"/>
      <c r="K268" s="76" t="s">
        <v>28</v>
      </c>
      <c r="L268" s="88" t="s">
        <v>361</v>
      </c>
      <c r="M268" s="78">
        <v>500000</v>
      </c>
      <c r="N268" s="109">
        <f t="shared" si="33"/>
        <v>84.976</v>
      </c>
      <c r="O268" s="79" t="s">
        <v>56</v>
      </c>
      <c r="P268" s="92"/>
      <c r="Q268" s="92"/>
      <c r="R268" s="92"/>
      <c r="S268" s="92"/>
      <c r="T268" s="92"/>
      <c r="U268" s="92">
        <f>F268</f>
        <v>42488000</v>
      </c>
      <c r="V268" s="88"/>
      <c r="W268" s="3" t="s">
        <v>379</v>
      </c>
      <c r="X268" s="146" t="s">
        <v>28</v>
      </c>
    </row>
    <row r="269" customHeight="1" spans="1:24">
      <c r="A269" s="73" t="s">
        <v>491</v>
      </c>
      <c r="B269" s="74" t="s">
        <v>33</v>
      </c>
      <c r="C269" s="86" t="s">
        <v>71</v>
      </c>
      <c r="D269" s="1" t="s">
        <v>302</v>
      </c>
      <c r="E269" s="75">
        <v>0.005</v>
      </c>
      <c r="F269" s="87">
        <f>200000</f>
        <v>200000</v>
      </c>
      <c r="G269" s="88">
        <f>E269*F269</f>
        <v>1000</v>
      </c>
      <c r="H269" s="89"/>
      <c r="I269" s="120" t="str">
        <f ca="1" t="shared" si="34"/>
        <v>4/2/2025</v>
      </c>
      <c r="J269" s="89"/>
      <c r="K269" s="76" t="s">
        <v>28</v>
      </c>
      <c r="L269" s="88" t="s">
        <v>38</v>
      </c>
      <c r="M269" s="78">
        <v>500001</v>
      </c>
      <c r="N269" s="109">
        <f t="shared" si="33"/>
        <v>0.3999992000016</v>
      </c>
      <c r="O269" s="79" t="s">
        <v>56</v>
      </c>
      <c r="P269" s="92"/>
      <c r="Q269" s="92"/>
      <c r="R269" s="92"/>
      <c r="S269" s="92"/>
      <c r="T269" s="92"/>
      <c r="U269" s="92"/>
      <c r="V269" s="145">
        <f>F269</f>
        <v>200000</v>
      </c>
      <c r="W269" s="3" t="s">
        <v>385</v>
      </c>
      <c r="X269" s="146" t="s">
        <v>28</v>
      </c>
    </row>
    <row r="270" customHeight="1" spans="1:24">
      <c r="A270" s="73" t="s">
        <v>492</v>
      </c>
      <c r="B270" s="74" t="s">
        <v>33</v>
      </c>
      <c r="C270" s="86" t="s">
        <v>71</v>
      </c>
      <c r="D270" s="1" t="s">
        <v>302</v>
      </c>
      <c r="E270" s="75">
        <v>0.005</v>
      </c>
      <c r="F270" s="87">
        <v>525000</v>
      </c>
      <c r="G270" s="88">
        <f>E270*F270</f>
        <v>2625</v>
      </c>
      <c r="H270" s="89"/>
      <c r="I270" s="120" t="str">
        <f ca="1" t="shared" si="34"/>
        <v>4/24/2025</v>
      </c>
      <c r="J270" s="89"/>
      <c r="K270" s="76" t="s">
        <v>28</v>
      </c>
      <c r="L270" s="88" t="s">
        <v>38</v>
      </c>
      <c r="M270" s="78">
        <v>500002</v>
      </c>
      <c r="N270" s="109">
        <f t="shared" si="33"/>
        <v>1.0499958000168</v>
      </c>
      <c r="O270" s="79" t="s">
        <v>56</v>
      </c>
      <c r="P270" s="92"/>
      <c r="Q270" s="92"/>
      <c r="R270" s="92"/>
      <c r="S270" s="92"/>
      <c r="T270" s="92"/>
      <c r="U270" s="92"/>
      <c r="V270" s="145">
        <f>F270</f>
        <v>525000</v>
      </c>
      <c r="W270" s="3" t="s">
        <v>385</v>
      </c>
      <c r="X270" s="146" t="s">
        <v>28</v>
      </c>
    </row>
    <row r="271" customHeight="1" spans="1:24">
      <c r="A271" s="73" t="s">
        <v>493</v>
      </c>
      <c r="B271" s="74" t="s">
        <v>50</v>
      </c>
      <c r="C271" s="86" t="s">
        <v>51</v>
      </c>
      <c r="D271" s="1" t="s">
        <v>302</v>
      </c>
      <c r="E271" s="75">
        <v>0.012</v>
      </c>
      <c r="F271" s="87">
        <f>49000000</f>
        <v>49000000</v>
      </c>
      <c r="G271" s="88">
        <f>F271*E271</f>
        <v>588000</v>
      </c>
      <c r="H271" s="89"/>
      <c r="I271" s="120" t="str">
        <f ca="1" t="shared" si="34"/>
        <v>7/7/2025</v>
      </c>
      <c r="J271" s="89"/>
      <c r="K271" s="76" t="s">
        <v>28</v>
      </c>
      <c r="L271" s="88" t="s">
        <v>494</v>
      </c>
      <c r="M271" s="78">
        <v>1500</v>
      </c>
      <c r="N271" s="109">
        <f t="shared" si="33"/>
        <v>32666.6666666667</v>
      </c>
      <c r="O271" s="79" t="s">
        <v>56</v>
      </c>
      <c r="P271" s="92"/>
      <c r="Q271" s="92"/>
      <c r="R271" s="92"/>
      <c r="S271" s="92"/>
      <c r="T271" s="92"/>
      <c r="U271" s="92">
        <f>F271</f>
        <v>49000000</v>
      </c>
      <c r="V271" s="88"/>
      <c r="W271" s="3" t="s">
        <v>385</v>
      </c>
      <c r="X271" s="146" t="s">
        <v>28</v>
      </c>
    </row>
    <row r="272" customHeight="1" spans="1:24">
      <c r="A272" s="73" t="s">
        <v>495</v>
      </c>
      <c r="B272" s="74" t="s">
        <v>33</v>
      </c>
      <c r="C272" s="86" t="s">
        <v>304</v>
      </c>
      <c r="D272" s="1" t="s">
        <v>302</v>
      </c>
      <c r="E272" s="75">
        <v>0.01</v>
      </c>
      <c r="F272" s="87">
        <v>150000</v>
      </c>
      <c r="G272" s="88">
        <f>F272*E272</f>
        <v>1500</v>
      </c>
      <c r="H272" s="111"/>
      <c r="I272" s="120" t="str">
        <f ca="1" t="shared" si="34"/>
        <v>9/5/2025</v>
      </c>
      <c r="J272" s="111"/>
      <c r="K272" s="76" t="s">
        <v>28</v>
      </c>
      <c r="L272" s="88" t="s">
        <v>59</v>
      </c>
      <c r="M272" s="78">
        <v>1</v>
      </c>
      <c r="N272" s="109">
        <f t="shared" si="33"/>
        <v>150000</v>
      </c>
      <c r="O272" s="79" t="s">
        <v>56</v>
      </c>
      <c r="P272" s="92"/>
      <c r="Q272" s="92"/>
      <c r="R272" s="92"/>
      <c r="S272" s="92"/>
      <c r="T272" s="92"/>
      <c r="U272" s="92"/>
      <c r="V272" s="145">
        <f>F272</f>
        <v>150000</v>
      </c>
      <c r="W272" s="149" t="s">
        <v>43</v>
      </c>
      <c r="X272" s="146" t="s">
        <v>28</v>
      </c>
    </row>
    <row r="273" customHeight="1" spans="1:24">
      <c r="A273" s="73" t="s">
        <v>496</v>
      </c>
      <c r="B273" s="74" t="s">
        <v>33</v>
      </c>
      <c r="C273" s="86" t="s">
        <v>126</v>
      </c>
      <c r="D273" s="86" t="s">
        <v>497</v>
      </c>
      <c r="E273" s="93">
        <v>0.05</v>
      </c>
      <c r="F273" s="87">
        <f>25500*6</f>
        <v>153000</v>
      </c>
      <c r="G273" s="88">
        <f>E273*F273</f>
        <v>7650</v>
      </c>
      <c r="H273" s="111"/>
      <c r="I273" s="120" t="str">
        <f ca="1" t="shared" si="34"/>
        <v>3/5/2025</v>
      </c>
      <c r="J273" s="111"/>
      <c r="K273" s="76" t="s">
        <v>28</v>
      </c>
      <c r="L273" s="88" t="s">
        <v>38</v>
      </c>
      <c r="M273" s="122">
        <f>6/8*778</f>
        <v>583.5</v>
      </c>
      <c r="N273" s="109">
        <f t="shared" si="33"/>
        <v>262.210796915167</v>
      </c>
      <c r="O273" s="79" t="s">
        <v>56</v>
      </c>
      <c r="P273" s="92"/>
      <c r="Q273" s="92"/>
      <c r="R273" s="92"/>
      <c r="S273" s="92"/>
      <c r="T273" s="92"/>
      <c r="U273" s="92"/>
      <c r="V273" s="145">
        <f>F273</f>
        <v>153000</v>
      </c>
      <c r="W273" s="149" t="s">
        <v>43</v>
      </c>
      <c r="X273" s="146" t="s">
        <v>28</v>
      </c>
    </row>
    <row r="274" customHeight="1" spans="1:24">
      <c r="A274" s="149" t="s">
        <v>154</v>
      </c>
      <c r="B274" s="188" t="s">
        <v>33</v>
      </c>
      <c r="C274" s="152" t="s">
        <v>34</v>
      </c>
      <c r="D274" s="152" t="s">
        <v>27</v>
      </c>
      <c r="E274" s="153">
        <v>0.35</v>
      </c>
      <c r="F274" s="154">
        <v>74500</v>
      </c>
      <c r="G274" s="140">
        <f>E274*F274</f>
        <v>26075</v>
      </c>
      <c r="H274" s="157">
        <v>4000</v>
      </c>
      <c r="I274" s="120" t="str">
        <f ca="1" t="shared" si="34"/>
        <v>6/2/2025</v>
      </c>
      <c r="J274" s="157"/>
      <c r="K274" s="76" t="s">
        <v>28</v>
      </c>
      <c r="L274" s="140" t="s">
        <v>80</v>
      </c>
      <c r="M274" s="141">
        <v>12</v>
      </c>
      <c r="N274" s="166">
        <f t="shared" si="33"/>
        <v>6208.33333333333</v>
      </c>
      <c r="O274" s="160" t="s">
        <v>498</v>
      </c>
      <c r="P274" s="167"/>
      <c r="Q274" s="167"/>
      <c r="R274" s="167"/>
      <c r="S274" s="167"/>
      <c r="T274" s="167"/>
      <c r="U274" s="167"/>
      <c r="V274" s="199">
        <f>F274</f>
        <v>74500</v>
      </c>
      <c r="W274" s="149" t="s">
        <v>43</v>
      </c>
      <c r="X274" s="146" t="s">
        <v>28</v>
      </c>
    </row>
    <row r="275" customHeight="1" spans="1:24">
      <c r="A275" s="189" t="s">
        <v>246</v>
      </c>
      <c r="B275" s="188" t="s">
        <v>45</v>
      </c>
      <c r="C275" s="152" t="s">
        <v>192</v>
      </c>
      <c r="D275" s="152" t="s">
        <v>302</v>
      </c>
      <c r="E275" s="153">
        <v>0.005</v>
      </c>
      <c r="F275" s="154">
        <v>150000</v>
      </c>
      <c r="G275" s="140">
        <f>E275*F275</f>
        <v>750</v>
      </c>
      <c r="H275" s="157"/>
      <c r="I275" s="120" t="str">
        <f ca="1" t="shared" si="34"/>
        <v>4/4/2025</v>
      </c>
      <c r="J275" s="157"/>
      <c r="K275" s="76" t="s">
        <v>28</v>
      </c>
      <c r="L275" s="140" t="s">
        <v>499</v>
      </c>
      <c r="M275" s="141">
        <v>13</v>
      </c>
      <c r="N275" s="166">
        <f t="shared" si="33"/>
        <v>11538.4615384615</v>
      </c>
      <c r="O275" s="160" t="s">
        <v>500</v>
      </c>
      <c r="P275" s="167">
        <f>F275</f>
        <v>150000</v>
      </c>
      <c r="Q275" s="167"/>
      <c r="R275" s="167"/>
      <c r="S275" s="167"/>
      <c r="T275" s="167"/>
      <c r="U275" s="167"/>
      <c r="V275" s="199"/>
      <c r="W275" s="149" t="s">
        <v>43</v>
      </c>
      <c r="X275" s="146" t="s">
        <v>28</v>
      </c>
    </row>
    <row r="276" customHeight="1" spans="1:24">
      <c r="A276" s="189" t="s">
        <v>105</v>
      </c>
      <c r="B276" s="190" t="s">
        <v>45</v>
      </c>
      <c r="C276" s="191" t="s">
        <v>192</v>
      </c>
      <c r="D276" s="1" t="s">
        <v>302</v>
      </c>
      <c r="E276" s="153">
        <v>0.002</v>
      </c>
      <c r="F276" s="51">
        <f>35337.35*4.21</f>
        <v>148770.2435</v>
      </c>
      <c r="G276" s="140">
        <f>E276*F276</f>
        <v>297.540487</v>
      </c>
      <c r="H276" s="157"/>
      <c r="I276" s="120" t="str">
        <f ca="1" t="shared" si="34"/>
        <v>7/4/2025</v>
      </c>
      <c r="J276" s="157"/>
      <c r="K276" s="76" t="s">
        <v>28</v>
      </c>
      <c r="L276" s="195" t="s">
        <v>47</v>
      </c>
      <c r="M276" s="141">
        <v>14</v>
      </c>
      <c r="N276" s="166">
        <f>F276/M277</f>
        <v>1836.66967283951</v>
      </c>
      <c r="O276" s="196" t="s">
        <v>501</v>
      </c>
      <c r="P276" s="197">
        <f>F276</f>
        <v>148770.2435</v>
      </c>
      <c r="Q276" s="197"/>
      <c r="R276" s="197"/>
      <c r="S276" s="197"/>
      <c r="T276" s="197"/>
      <c r="U276" s="197"/>
      <c r="V276" s="195"/>
      <c r="W276" s="149" t="s">
        <v>43</v>
      </c>
      <c r="X276" s="146" t="s">
        <v>28</v>
      </c>
    </row>
    <row r="277" customHeight="1" spans="1:24">
      <c r="A277" s="73" t="s">
        <v>502</v>
      </c>
      <c r="B277" s="74" t="s">
        <v>45</v>
      </c>
      <c r="C277" s="1" t="s">
        <v>102</v>
      </c>
      <c r="D277" s="1" t="s">
        <v>341</v>
      </c>
      <c r="E277" s="153">
        <v>0.002</v>
      </c>
      <c r="F277" s="51">
        <v>2000000</v>
      </c>
      <c r="G277" s="192">
        <f>E277*F277</f>
        <v>4000</v>
      </c>
      <c r="I277" s="120" t="str">
        <f ca="1" t="shared" si="34"/>
        <v>8/29/2025</v>
      </c>
      <c r="K277" s="76" t="s">
        <v>28</v>
      </c>
      <c r="L277" s="1" t="s">
        <v>503</v>
      </c>
      <c r="M277" s="198">
        <v>81</v>
      </c>
      <c r="N277" s="166">
        <f>F277/M278</f>
        <v>2000000</v>
      </c>
      <c r="O277" s="196" t="s">
        <v>501</v>
      </c>
      <c r="P277" s="164">
        <f>F277</f>
        <v>2000000</v>
      </c>
      <c r="Q277" s="164"/>
      <c r="W277" s="149" t="s">
        <v>43</v>
      </c>
      <c r="X277" s="146" t="s">
        <v>28</v>
      </c>
    </row>
    <row r="278" customHeight="1" spans="1:24">
      <c r="A278" s="73" t="s">
        <v>495</v>
      </c>
      <c r="B278" s="99" t="s">
        <v>33</v>
      </c>
      <c r="C278" s="86" t="s">
        <v>304</v>
      </c>
      <c r="D278" s="1" t="s">
        <v>302</v>
      </c>
      <c r="E278" s="75">
        <v>0.01</v>
      </c>
      <c r="F278" s="87">
        <v>150000</v>
      </c>
      <c r="G278" s="88">
        <f>F278*E278</f>
        <v>1500</v>
      </c>
      <c r="H278" s="89"/>
      <c r="I278" s="120" t="str">
        <f ca="1" t="shared" si="34"/>
        <v>7/12/2025</v>
      </c>
      <c r="J278" s="89"/>
      <c r="K278" s="76" t="s">
        <v>28</v>
      </c>
      <c r="L278" s="88" t="s">
        <v>59</v>
      </c>
      <c r="M278" s="122">
        <v>1</v>
      </c>
      <c r="N278" s="109">
        <f>F278/M278</f>
        <v>150000</v>
      </c>
      <c r="O278" s="196" t="s">
        <v>501</v>
      </c>
      <c r="P278" s="92"/>
      <c r="Q278" s="92"/>
      <c r="R278" s="92"/>
      <c r="S278" s="92"/>
      <c r="T278" s="92"/>
      <c r="U278" s="92"/>
      <c r="V278" s="183">
        <f>F278</f>
        <v>150000</v>
      </c>
      <c r="W278" s="149" t="s">
        <v>43</v>
      </c>
      <c r="X278" s="146" t="s">
        <v>28</v>
      </c>
    </row>
    <row r="279" customHeight="1" spans="1:24">
      <c r="A279" s="73" t="s">
        <v>504</v>
      </c>
      <c r="B279" s="99" t="s">
        <v>33</v>
      </c>
      <c r="C279" s="86" t="s">
        <v>304</v>
      </c>
      <c r="D279" s="1" t="s">
        <v>302</v>
      </c>
      <c r="E279" s="75">
        <v>0.01</v>
      </c>
      <c r="F279" s="87">
        <v>500000</v>
      </c>
      <c r="G279" s="88">
        <f>F279*E279</f>
        <v>5000</v>
      </c>
      <c r="H279" s="89"/>
      <c r="I279" s="120" t="str">
        <f ca="1" t="shared" si="34"/>
        <v>1/21/2025</v>
      </c>
      <c r="J279" s="89"/>
      <c r="K279" s="76" t="s">
        <v>28</v>
      </c>
      <c r="L279" s="88" t="s">
        <v>59</v>
      </c>
      <c r="M279" s="122">
        <v>1</v>
      </c>
      <c r="N279" s="109">
        <f>F279/M279</f>
        <v>500000</v>
      </c>
      <c r="O279" s="196" t="s">
        <v>501</v>
      </c>
      <c r="P279" s="92"/>
      <c r="Q279" s="92"/>
      <c r="R279" s="92"/>
      <c r="S279" s="92"/>
      <c r="T279" s="92"/>
      <c r="U279" s="92"/>
      <c r="V279" s="183">
        <f>F279</f>
        <v>500000</v>
      </c>
      <c r="W279" s="149" t="s">
        <v>43</v>
      </c>
      <c r="X279" s="146" t="s">
        <v>28</v>
      </c>
    </row>
    <row r="280" customHeight="1" spans="1:24">
      <c r="A280" s="73" t="s">
        <v>505</v>
      </c>
      <c r="B280" s="74" t="s">
        <v>33</v>
      </c>
      <c r="C280" s="86" t="s">
        <v>164</v>
      </c>
      <c r="D280" s="1" t="s">
        <v>302</v>
      </c>
      <c r="E280" s="75">
        <v>0.01</v>
      </c>
      <c r="F280" s="87">
        <v>30000</v>
      </c>
      <c r="G280" s="88">
        <f>F280*E280</f>
        <v>300</v>
      </c>
      <c r="H280" s="89"/>
      <c r="I280" s="120" t="str">
        <f ca="1" t="shared" si="34"/>
        <v>12/3/2025</v>
      </c>
      <c r="J280" s="89"/>
      <c r="K280" s="76" t="s">
        <v>28</v>
      </c>
      <c r="L280" s="88" t="s">
        <v>38</v>
      </c>
      <c r="M280" s="122">
        <v>2</v>
      </c>
      <c r="N280" s="109">
        <f>F280/M280</f>
        <v>15000</v>
      </c>
      <c r="O280" s="196" t="s">
        <v>501</v>
      </c>
      <c r="P280" s="92"/>
      <c r="Q280" s="92"/>
      <c r="R280" s="92"/>
      <c r="S280" s="92"/>
      <c r="T280" s="92"/>
      <c r="U280" s="92"/>
      <c r="V280" s="145">
        <v>30000</v>
      </c>
      <c r="W280" s="149" t="s">
        <v>43</v>
      </c>
      <c r="X280" s="146" t="s">
        <v>28</v>
      </c>
    </row>
    <row r="281" customHeight="1" spans="24:24">
      <c r="X281" s="149"/>
    </row>
    <row r="282" customHeight="1" spans="24:24">
      <c r="X282" s="149"/>
    </row>
    <row r="283" customHeight="1" spans="24:24">
      <c r="X283" s="170"/>
    </row>
    <row r="284" customHeight="1" spans="24:24">
      <c r="X284" s="170"/>
    </row>
  </sheetData>
  <conditionalFormatting sqref="E2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{c2450cbb-0fa3-4256-aaa4-9e9d6714c5c6}</x14:id>
        </ext>
      </extLst>
    </cfRule>
  </conditionalFormatting>
  <conditionalFormatting sqref="E21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{a5ac6c32-927f-46fc-b149-44df5a99cddc}</x14:id>
        </ext>
      </extLst>
    </cfRule>
  </conditionalFormatting>
  <conditionalFormatting sqref="E2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{f877e721-8995-481e-b3f8-10cbd8a2c2c8}</x14:id>
        </ext>
      </extLst>
    </cfRule>
  </conditionalFormatting>
  <conditionalFormatting sqref="B$1:B$1048576">
    <cfRule type="cellIs" dxfId="22" priority="129" operator="equal">
      <formula>$B$6</formula>
    </cfRule>
    <cfRule type="cellIs" dxfId="23" priority="130" operator="equal">
      <formula>$B$278</formula>
    </cfRule>
    <cfRule type="cellIs" dxfId="24" priority="131" operator="equal">
      <formula>#REF!</formula>
    </cfRule>
  </conditionalFormatting>
  <conditionalFormatting sqref="E2:E28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{d7c553bf-bfe2-4a34-baa6-176336746aff}</x14:id>
        </ext>
      </extLst>
    </cfRule>
  </conditionalFormatting>
  <conditionalFormatting sqref="D86:D264 D1:D84 D267:D1048576">
    <cfRule type="iconSet" priority="14">
      <iconSet iconSet="3TrafficLights1">
        <cfvo type="percent" val="0"/>
        <cfvo type="percent" val="33"/>
        <cfvo type="percent" val="67"/>
      </iconSet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84 E86:E104857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{2d8710dd-e3fc-43cf-b9c5-95c18d838f0a}</x14:id>
        </ext>
      </extLst>
    </cfRule>
  </conditionalFormatting>
  <conditionalFormatting sqref="E2:E208 E278:E280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{54fb4686-4e72-4c1b-8101-d7bf70de6a9c}</x14:id>
        </ext>
      </extLst>
    </cfRule>
  </conditionalFormatting>
  <conditionalFormatting sqref="E211:E212 E20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{6f299fcb-5d7d-4975-8f91-00da30015d6d}</x14:id>
        </ext>
      </extLst>
    </cfRule>
  </conditionalFormatting>
  <dataValidations count="1">
    <dataValidation allowBlank="1" showInputMessage="1" showErrorMessage="1" sqref="D72 AA145 AA147:AA152"/>
  </dataValidations>
  <pageMargins left="0.7" right="0.7" top="0.75" bottom="0.75" header="0.3" footer="0.3"/>
  <pageSetup paperSize="1" orientation="portrait"/>
  <headerFooter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450cbb-0fa3-4256-aaa4-9e9d6714c5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E210</xm:sqref>
        </x14:conditionalFormatting>
        <x14:conditionalFormatting xmlns:xm="http://schemas.microsoft.com/office/excel/2006/main">
          <x14:cfRule type="dataBar" id="{a5ac6c32-927f-46fc-b149-44df5a99cd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E216</xm:sqref>
        </x14:conditionalFormatting>
        <x14:conditionalFormatting xmlns:xm="http://schemas.microsoft.com/office/excel/2006/main">
          <x14:cfRule type="dataBar" id="{f877e721-8995-481e-b3f8-10cbd8a2c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E217</xm:sqref>
        </x14:conditionalFormatting>
        <x14:conditionalFormatting xmlns:xm="http://schemas.microsoft.com/office/excel/2006/main">
          <x14:cfRule type="dataBar" id="{d7c553bf-bfe2-4a34-baa6-176336746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E2:E280</xm:sqref>
        </x14:conditionalFormatting>
        <x14:conditionalFormatting xmlns:xm="http://schemas.microsoft.com/office/excel/2006/main">
          <x14:cfRule type="dataBar" id="{2d8710dd-e3fc-43cf-b9c5-95c18d838f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E1:E84 E86:E1048576</xm:sqref>
        </x14:conditionalFormatting>
        <x14:conditionalFormatting xmlns:xm="http://schemas.microsoft.com/office/excel/2006/main">
          <x14:cfRule type="dataBar" id="{54fb4686-4e72-4c1b-8101-d7bf70de6a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E2:E208 E278:E280</xm:sqref>
        </x14:conditionalFormatting>
        <x14:conditionalFormatting xmlns:xm="http://schemas.microsoft.com/office/excel/2006/main">
          <x14:cfRule type="dataBar" id="{6f299fcb-5d7d-4975-8f91-00da30015d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E211:E212 E209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27"/>
  <sheetViews>
    <sheetView zoomScale="70" zoomScaleNormal="70" topLeftCell="A80" workbookViewId="0">
      <selection activeCell="A80" sqref="A80"/>
    </sheetView>
  </sheetViews>
  <sheetFormatPr defaultColWidth="8.88888888888889" defaultRowHeight="15" customHeight="1"/>
  <cols>
    <col min="1" max="1" width="21.6666666666667" style="3" customWidth="1"/>
    <col min="2" max="2" width="15.8888888888889" style="3" customWidth="1"/>
    <col min="3" max="3" width="17.5555555555556" style="3" customWidth="1"/>
    <col min="4" max="4" width="14.6666666666667" style="3" customWidth="1"/>
    <col min="5" max="5" width="16.3333333333333" style="4" customWidth="1"/>
    <col min="6" max="6" width="11.3333333333333" style="3" customWidth="1"/>
    <col min="7" max="8" width="17" style="3" customWidth="1"/>
    <col min="9" max="9" width="20.3333333333333" style="3" customWidth="1"/>
    <col min="10" max="10" width="21" style="3" customWidth="1"/>
    <col min="11" max="11" width="18.6666666666667" style="3" customWidth="1"/>
    <col min="12" max="12" width="20.8888888888889" style="3" customWidth="1"/>
    <col min="13" max="13" width="17.5555555555556" style="3" customWidth="1"/>
    <col min="14" max="14" width="16.6666666666667" style="3" customWidth="1"/>
    <col min="15" max="15" width="15.8888888888889" style="3" customWidth="1"/>
    <col min="16" max="17" width="12.4444444444444" style="3" customWidth="1"/>
    <col min="18" max="18" width="13.6666666666667" style="5" customWidth="1"/>
    <col min="19" max="19" width="8.88888888888889" style="3"/>
    <col min="20" max="20" width="14.1111111111111" style="3" customWidth="1"/>
    <col min="21" max="21" width="8.88888888888889" style="3"/>
    <col min="22" max="22" width="10.8888888888889" style="3" customWidth="1"/>
    <col min="23" max="16384" width="8.88888888888889" style="3"/>
  </cols>
  <sheetData>
    <row r="1" ht="17.1" spans="1:4">
      <c r="A1" s="6" t="s">
        <v>506</v>
      </c>
      <c r="B1" s="7"/>
      <c r="C1" s="7"/>
      <c r="D1" s="8"/>
    </row>
    <row r="2" s="1" customFormat="1" ht="15.15" spans="1:18">
      <c r="A2" s="9" t="s">
        <v>507</v>
      </c>
      <c r="B2" s="10" t="s">
        <v>508</v>
      </c>
      <c r="C2" s="11" t="s">
        <v>509</v>
      </c>
      <c r="D2" s="12" t="s">
        <v>510</v>
      </c>
      <c r="E2" s="13" t="s">
        <v>511</v>
      </c>
      <c r="R2" s="55"/>
    </row>
    <row r="3" ht="14.4" spans="1:5">
      <c r="A3" s="14" t="s">
        <v>512</v>
      </c>
      <c r="B3" s="15">
        <v>0</v>
      </c>
      <c r="C3" s="16">
        <v>5</v>
      </c>
      <c r="D3" s="17">
        <v>1</v>
      </c>
      <c r="E3" s="4">
        <v>331000</v>
      </c>
    </row>
    <row r="4" ht="14.4" spans="1:5">
      <c r="A4" s="14" t="s">
        <v>513</v>
      </c>
      <c r="B4" s="15">
        <v>0</v>
      </c>
      <c r="C4" s="16">
        <v>6</v>
      </c>
      <c r="D4" s="17">
        <v>2</v>
      </c>
      <c r="E4" s="4">
        <v>2424874</v>
      </c>
    </row>
    <row r="5" ht="14.4" spans="1:5">
      <c r="A5" s="14" t="s">
        <v>514</v>
      </c>
      <c r="B5" s="15">
        <v>0</v>
      </c>
      <c r="C5" s="16">
        <v>3</v>
      </c>
      <c r="D5" s="17">
        <v>1</v>
      </c>
      <c r="E5" s="4">
        <v>125000</v>
      </c>
    </row>
    <row r="6" ht="14.4" spans="1:6">
      <c r="A6" s="14" t="s">
        <v>515</v>
      </c>
      <c r="B6" s="15">
        <v>1</v>
      </c>
      <c r="C6" s="16">
        <v>1</v>
      </c>
      <c r="D6" s="17">
        <v>2</v>
      </c>
      <c r="F6" s="4" t="s">
        <v>516</v>
      </c>
    </row>
    <row r="7" ht="14.4" spans="1:4">
      <c r="A7" s="14" t="s">
        <v>517</v>
      </c>
      <c r="B7" s="15">
        <v>7</v>
      </c>
      <c r="C7" s="16">
        <f>C6+1</f>
        <v>2</v>
      </c>
      <c r="D7" s="17">
        <v>7</v>
      </c>
    </row>
    <row r="8" ht="14.4" spans="1:4">
      <c r="A8" s="14" t="s">
        <v>518</v>
      </c>
      <c r="B8" s="15">
        <v>7</v>
      </c>
      <c r="C8" s="16">
        <f>C7+4</f>
        <v>6</v>
      </c>
      <c r="D8" s="17">
        <v>10</v>
      </c>
    </row>
    <row r="9" ht="14.4" spans="1:5">
      <c r="A9" s="14" t="s">
        <v>519</v>
      </c>
      <c r="B9" s="15">
        <v>16</v>
      </c>
      <c r="C9" s="16">
        <v>15</v>
      </c>
      <c r="D9" s="17">
        <v>13</v>
      </c>
      <c r="E9" s="4">
        <f>SUM(E2:E6)</f>
        <v>2880874</v>
      </c>
    </row>
    <row r="10" ht="14.4" spans="1:5">
      <c r="A10" s="14" t="s">
        <v>520</v>
      </c>
      <c r="B10" s="15">
        <v>16</v>
      </c>
      <c r="C10" s="16">
        <v>15</v>
      </c>
      <c r="D10" s="17">
        <v>13</v>
      </c>
      <c r="E10" s="4">
        <f>SUM(E3:E7)</f>
        <v>2880874</v>
      </c>
    </row>
    <row r="11" s="2" customFormat="1" ht="16.35" spans="1:18">
      <c r="A11" s="18" t="s">
        <v>521</v>
      </c>
      <c r="B11" s="19">
        <v>18</v>
      </c>
      <c r="C11" s="20">
        <v>20</v>
      </c>
      <c r="D11" s="21">
        <v>15</v>
      </c>
      <c r="E11" s="22">
        <f>SUM(E3:E7)</f>
        <v>2880874</v>
      </c>
      <c r="R11" s="51"/>
    </row>
    <row r="12" ht="14.4"/>
    <row r="13" ht="14.4"/>
    <row r="14" ht="15.15"/>
    <row r="15" ht="14.4" spans="1:6">
      <c r="A15" s="23" t="s">
        <v>522</v>
      </c>
      <c r="B15" s="24"/>
      <c r="C15" s="25"/>
      <c r="D15" s="25"/>
      <c r="E15" s="26"/>
      <c r="F15" s="27"/>
    </row>
    <row r="16" ht="28.8" spans="1:6">
      <c r="A16" s="28" t="s">
        <v>47</v>
      </c>
      <c r="B16" s="29" t="s">
        <v>523</v>
      </c>
      <c r="C16" s="29" t="s">
        <v>524</v>
      </c>
      <c r="D16" s="29" t="s">
        <v>525</v>
      </c>
      <c r="E16" s="30" t="s">
        <v>526</v>
      </c>
      <c r="F16" s="31" t="s">
        <v>527</v>
      </c>
    </row>
    <row r="17" ht="14.4" spans="1:6">
      <c r="A17" s="32" t="s">
        <v>528</v>
      </c>
      <c r="B17" s="3">
        <v>11</v>
      </c>
      <c r="C17" s="3">
        <v>0</v>
      </c>
      <c r="D17" s="3">
        <v>0</v>
      </c>
      <c r="E17" s="3">
        <v>0</v>
      </c>
      <c r="F17" s="33">
        <f>SUM(B17:E17)</f>
        <v>11</v>
      </c>
    </row>
    <row r="18" ht="14.4" spans="1:6">
      <c r="A18" s="32" t="s">
        <v>341</v>
      </c>
      <c r="B18" s="3">
        <v>0</v>
      </c>
      <c r="C18" s="3">
        <v>11</v>
      </c>
      <c r="D18" s="3">
        <v>3</v>
      </c>
      <c r="E18" s="34">
        <v>20</v>
      </c>
      <c r="F18" s="33">
        <f>SUM(B18:E18)</f>
        <v>34</v>
      </c>
    </row>
    <row r="19" ht="15.15" spans="1:6">
      <c r="A19" s="35" t="s">
        <v>529</v>
      </c>
      <c r="B19" s="36">
        <f>SUM(B17:B18)</f>
        <v>11</v>
      </c>
      <c r="C19" s="36">
        <f t="shared" ref="C19:F19" si="0">SUM(C17:C18)</f>
        <v>11</v>
      </c>
      <c r="D19" s="36">
        <f t="shared" si="0"/>
        <v>3</v>
      </c>
      <c r="E19" s="36">
        <f t="shared" si="0"/>
        <v>20</v>
      </c>
      <c r="F19" s="36">
        <f t="shared" si="0"/>
        <v>45</v>
      </c>
    </row>
    <row r="20" ht="14.4"/>
    <row r="21" ht="15.15"/>
    <row r="22" ht="15.15" spans="1:17">
      <c r="A22" s="37" t="s">
        <v>530</v>
      </c>
      <c r="B22" s="38"/>
      <c r="C22" s="38"/>
      <c r="D22" s="38"/>
      <c r="E22" s="39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56"/>
    </row>
    <row r="23" ht="14.4" spans="1:17">
      <c r="A23" s="40" t="s">
        <v>47</v>
      </c>
      <c r="B23" s="29" t="s">
        <v>531</v>
      </c>
      <c r="C23" s="29" t="s">
        <v>532</v>
      </c>
      <c r="D23" s="29" t="s">
        <v>533</v>
      </c>
      <c r="E23" s="41" t="s">
        <v>534</v>
      </c>
      <c r="F23" s="41" t="s">
        <v>527</v>
      </c>
      <c r="G23" s="29" t="s">
        <v>535</v>
      </c>
      <c r="H23" s="29" t="s">
        <v>536</v>
      </c>
      <c r="I23" s="29"/>
      <c r="J23" s="29" t="s">
        <v>5</v>
      </c>
      <c r="K23" s="29" t="s">
        <v>531</v>
      </c>
      <c r="L23" s="29" t="s">
        <v>532</v>
      </c>
      <c r="M23" s="29" t="s">
        <v>533</v>
      </c>
      <c r="N23" s="41" t="s">
        <v>534</v>
      </c>
      <c r="O23" s="29" t="s">
        <v>527</v>
      </c>
      <c r="P23" s="29" t="s">
        <v>537</v>
      </c>
      <c r="Q23" s="57" t="s">
        <v>538</v>
      </c>
    </row>
    <row r="24" ht="14.4" spans="1:17">
      <c r="A24" s="42" t="s">
        <v>539</v>
      </c>
      <c r="B24" s="3">
        <v>8</v>
      </c>
      <c r="C24" s="3">
        <v>21</v>
      </c>
      <c r="D24" s="3">
        <v>3</v>
      </c>
      <c r="E24" s="4">
        <v>1</v>
      </c>
      <c r="F24" s="22">
        <f>SUM(B24:E24)</f>
        <v>33</v>
      </c>
      <c r="G24" s="3">
        <v>4</v>
      </c>
      <c r="H24" s="43">
        <f>F24-G24</f>
        <v>29</v>
      </c>
      <c r="I24" s="43"/>
      <c r="J24" s="3" t="s">
        <v>539</v>
      </c>
      <c r="K24" s="48">
        <f>2079203-1250000</f>
        <v>829203</v>
      </c>
      <c r="L24" s="48">
        <v>6907251</v>
      </c>
      <c r="M24" s="48">
        <v>703469</v>
      </c>
      <c r="N24" s="49">
        <v>400000</v>
      </c>
      <c r="O24" s="22">
        <f>SUM(K24:N24)</f>
        <v>8839923</v>
      </c>
      <c r="P24" s="50">
        <v>4844919</v>
      </c>
      <c r="Q24" s="58">
        <f>1-P24/O24</f>
        <v>0.451927465884035</v>
      </c>
    </row>
    <row r="25" ht="14.4" spans="1:17">
      <c r="A25" s="42" t="s">
        <v>302</v>
      </c>
      <c r="B25" s="3">
        <v>7</v>
      </c>
      <c r="C25" s="3">
        <v>11</v>
      </c>
      <c r="D25" s="3">
        <v>1</v>
      </c>
      <c r="E25" s="4">
        <v>1</v>
      </c>
      <c r="F25" s="22">
        <f>SUM(B25:E25)</f>
        <v>20</v>
      </c>
      <c r="J25" s="3" t="s">
        <v>302</v>
      </c>
      <c r="K25" s="48">
        <v>2740000</v>
      </c>
      <c r="L25" s="48">
        <v>2505500</v>
      </c>
      <c r="M25" s="5">
        <v>1400000</v>
      </c>
      <c r="N25" s="5">
        <v>49000000</v>
      </c>
      <c r="O25" s="22">
        <f>SUM(K25:N25)</f>
        <v>55645500</v>
      </c>
      <c r="P25" s="51"/>
      <c r="Q25" s="59"/>
    </row>
    <row r="26" ht="14.4" spans="1:17">
      <c r="A26" s="42" t="s">
        <v>341</v>
      </c>
      <c r="B26" s="3">
        <v>5</v>
      </c>
      <c r="C26" s="3">
        <v>8</v>
      </c>
      <c r="D26" s="3">
        <v>0</v>
      </c>
      <c r="E26" s="4">
        <v>1</v>
      </c>
      <c r="F26" s="22">
        <f>SUM(B26:E26)</f>
        <v>14</v>
      </c>
      <c r="J26" s="3" t="s">
        <v>341</v>
      </c>
      <c r="K26" s="48">
        <v>2170000</v>
      </c>
      <c r="L26" s="48">
        <v>51858000</v>
      </c>
      <c r="M26" s="5"/>
      <c r="N26" s="5">
        <v>503000</v>
      </c>
      <c r="O26" s="22">
        <f>SUM(K26:N26)</f>
        <v>54531000</v>
      </c>
      <c r="P26" s="51"/>
      <c r="Q26" s="59"/>
    </row>
    <row r="27" ht="14.4" spans="1:17">
      <c r="A27" s="35" t="s">
        <v>529</v>
      </c>
      <c r="B27" s="2">
        <f>SUM(B24:B26)</f>
        <v>20</v>
      </c>
      <c r="C27" s="2">
        <f>SUM(C24:C26)</f>
        <v>40</v>
      </c>
      <c r="D27" s="2">
        <f>SUM(D24:D26)</f>
        <v>4</v>
      </c>
      <c r="E27" s="44">
        <f>SUM(E24:E26)</f>
        <v>3</v>
      </c>
      <c r="F27" s="2">
        <f>SUM(F24:F26)</f>
        <v>67</v>
      </c>
      <c r="G27" s="2"/>
      <c r="H27" s="2"/>
      <c r="I27" s="2"/>
      <c r="J27" s="52" t="s">
        <v>540</v>
      </c>
      <c r="K27" s="51">
        <f>SUM(K24:K26)</f>
        <v>5739203</v>
      </c>
      <c r="L27" s="51">
        <f>SUM(L24:L26)</f>
        <v>61270751</v>
      </c>
      <c r="M27" s="51">
        <f>SUM(M24:M26)</f>
        <v>2103469</v>
      </c>
      <c r="N27" s="44">
        <f>SUM(N24:N26)</f>
        <v>49903000</v>
      </c>
      <c r="O27" s="51">
        <f>SUM(O24:O26)</f>
        <v>119016423</v>
      </c>
      <c r="P27" s="51"/>
      <c r="Q27" s="60"/>
    </row>
    <row r="28" ht="15.15" spans="1:17">
      <c r="A28" s="45"/>
      <c r="B28" s="46"/>
      <c r="C28" s="46"/>
      <c r="D28" s="46"/>
      <c r="E28" s="47"/>
      <c r="F28" s="46"/>
      <c r="G28" s="46"/>
      <c r="H28" s="46"/>
      <c r="I28" s="46"/>
      <c r="J28" s="46"/>
      <c r="K28" s="53"/>
      <c r="L28" s="53"/>
      <c r="M28" s="53"/>
      <c r="N28" s="53"/>
      <c r="O28" s="53"/>
      <c r="P28" s="53"/>
      <c r="Q28" s="61"/>
    </row>
    <row r="29" ht="15.15"/>
    <row r="30" ht="15.15"/>
    <row r="31" ht="15.15" spans="1:17">
      <c r="A31" s="37" t="s">
        <v>541</v>
      </c>
      <c r="B31" s="38"/>
      <c r="C31" s="38"/>
      <c r="D31" s="38"/>
      <c r="E31" s="39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56"/>
    </row>
    <row r="32" ht="14.4" spans="1:17">
      <c r="A32" s="40" t="s">
        <v>47</v>
      </c>
      <c r="B32" s="29" t="s">
        <v>531</v>
      </c>
      <c r="C32" s="29" t="s">
        <v>532</v>
      </c>
      <c r="D32" s="29" t="s">
        <v>533</v>
      </c>
      <c r="E32" s="41" t="s">
        <v>534</v>
      </c>
      <c r="F32" s="41" t="s">
        <v>527</v>
      </c>
      <c r="G32" s="29" t="s">
        <v>535</v>
      </c>
      <c r="H32" s="29" t="s">
        <v>536</v>
      </c>
      <c r="I32" s="29"/>
      <c r="J32" s="29" t="s">
        <v>5</v>
      </c>
      <c r="K32" s="29" t="s">
        <v>531</v>
      </c>
      <c r="L32" s="29" t="s">
        <v>532</v>
      </c>
      <c r="M32" s="29" t="s">
        <v>533</v>
      </c>
      <c r="N32" s="41" t="s">
        <v>534</v>
      </c>
      <c r="O32" s="29" t="s">
        <v>527</v>
      </c>
      <c r="P32" s="29" t="s">
        <v>537</v>
      </c>
      <c r="Q32" s="57" t="s">
        <v>538</v>
      </c>
    </row>
    <row r="33" ht="14.4" spans="1:17">
      <c r="A33" s="42" t="s">
        <v>539</v>
      </c>
      <c r="B33" s="3">
        <v>8</v>
      </c>
      <c r="C33" s="3">
        <v>20</v>
      </c>
      <c r="D33" s="3">
        <v>3</v>
      </c>
      <c r="E33" s="4">
        <v>2</v>
      </c>
      <c r="F33" s="22">
        <f>SUM(B33:E33)</f>
        <v>33</v>
      </c>
      <c r="G33" s="3">
        <v>14</v>
      </c>
      <c r="H33" s="43">
        <f>F33-G33</f>
        <v>19</v>
      </c>
      <c r="I33" s="43"/>
      <c r="J33" s="3" t="s">
        <v>539</v>
      </c>
      <c r="K33" s="48">
        <f>2079203-1250000</f>
        <v>829203</v>
      </c>
      <c r="L33" s="48">
        <v>6879185</v>
      </c>
      <c r="M33" s="48">
        <v>703469</v>
      </c>
      <c r="N33" s="49">
        <v>428500</v>
      </c>
      <c r="O33" s="22">
        <f>SUM(K33:N33)</f>
        <v>8840357</v>
      </c>
      <c r="P33" s="50">
        <v>4844919</v>
      </c>
      <c r="Q33" s="58">
        <f>1-P33/O33</f>
        <v>0.451954372430887</v>
      </c>
    </row>
    <row r="34" ht="14.4" spans="1:17">
      <c r="A34" s="42" t="s">
        <v>302</v>
      </c>
      <c r="B34" s="3">
        <v>7</v>
      </c>
      <c r="C34" s="3">
        <v>13</v>
      </c>
      <c r="D34" s="3">
        <v>1</v>
      </c>
      <c r="E34" s="4">
        <v>1</v>
      </c>
      <c r="F34" s="22">
        <f>SUM(B34:E34)</f>
        <v>22</v>
      </c>
      <c r="J34" s="3" t="s">
        <v>302</v>
      </c>
      <c r="K34" s="48">
        <v>2980000</v>
      </c>
      <c r="L34" s="48">
        <v>11784066</v>
      </c>
      <c r="M34" s="5">
        <v>1400000</v>
      </c>
      <c r="N34" s="5">
        <v>49000000</v>
      </c>
      <c r="O34" s="22">
        <f>SUM(K34:N34)</f>
        <v>65164066</v>
      </c>
      <c r="P34" s="51"/>
      <c r="Q34" s="59"/>
    </row>
    <row r="35" ht="14.4" spans="1:17">
      <c r="A35" s="42" t="s">
        <v>341</v>
      </c>
      <c r="B35" s="3">
        <v>5</v>
      </c>
      <c r="C35" s="3">
        <v>24</v>
      </c>
      <c r="D35" s="3">
        <v>2</v>
      </c>
      <c r="E35" s="4">
        <v>2</v>
      </c>
      <c r="F35" s="22">
        <f>SUM(B35:E35)</f>
        <v>33</v>
      </c>
      <c r="J35" s="3" t="s">
        <v>341</v>
      </c>
      <c r="K35" s="48">
        <v>2170000</v>
      </c>
      <c r="L35" s="48">
        <v>48164600</v>
      </c>
      <c r="M35" s="5">
        <v>25000000</v>
      </c>
      <c r="N35" s="5">
        <v>503000</v>
      </c>
      <c r="O35" s="22">
        <f>SUM(K35:N35)</f>
        <v>75837600</v>
      </c>
      <c r="P35" s="51"/>
      <c r="Q35" s="59"/>
    </row>
    <row r="36" ht="14.4" spans="1:17">
      <c r="A36" s="35" t="s">
        <v>529</v>
      </c>
      <c r="B36" s="2">
        <f>SUM(B33:B35)</f>
        <v>20</v>
      </c>
      <c r="C36" s="2">
        <f>SUM(C33:C35)</f>
        <v>57</v>
      </c>
      <c r="D36" s="2">
        <f>SUM(D33:D35)</f>
        <v>6</v>
      </c>
      <c r="E36" s="44">
        <f>SUM(E33:E35)</f>
        <v>5</v>
      </c>
      <c r="F36" s="2">
        <f>SUM(F33:F35)</f>
        <v>88</v>
      </c>
      <c r="G36" s="2"/>
      <c r="H36" s="2"/>
      <c r="I36" s="2"/>
      <c r="J36" s="52" t="s">
        <v>540</v>
      </c>
      <c r="K36" s="51">
        <f>SUM(K33:K35)</f>
        <v>5979203</v>
      </c>
      <c r="L36" s="51">
        <f>SUM(L33:L35)</f>
        <v>66827851</v>
      </c>
      <c r="M36" s="51">
        <f>SUM(M33:M35)</f>
        <v>27103469</v>
      </c>
      <c r="N36" s="44">
        <f>SUM(N33:N35)</f>
        <v>49931500</v>
      </c>
      <c r="O36" s="51">
        <f>SUM(O33:O35)</f>
        <v>149842023</v>
      </c>
      <c r="P36" s="51"/>
      <c r="Q36" s="60"/>
    </row>
    <row r="37" ht="15.15" spans="1:17">
      <c r="A37" s="45"/>
      <c r="B37" s="46"/>
      <c r="C37" s="46"/>
      <c r="D37" s="46"/>
      <c r="E37" s="47"/>
      <c r="F37" s="46"/>
      <c r="G37" s="46"/>
      <c r="H37" s="46"/>
      <c r="I37" s="46"/>
      <c r="J37" s="46"/>
      <c r="K37" s="53"/>
      <c r="L37" s="53"/>
      <c r="M37" s="53"/>
      <c r="N37" s="53"/>
      <c r="O37" s="53"/>
      <c r="P37" s="53"/>
      <c r="Q37" s="61"/>
    </row>
    <row r="38" ht="15.15"/>
    <row r="39" ht="15.15"/>
    <row r="40" ht="15.15" spans="1:17">
      <c r="A40" s="37" t="s">
        <v>542</v>
      </c>
      <c r="B40" s="38"/>
      <c r="C40" s="38"/>
      <c r="D40" s="38"/>
      <c r="E40" s="39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56"/>
    </row>
    <row r="41" ht="14.4" spans="1:17">
      <c r="A41" s="40" t="s">
        <v>47</v>
      </c>
      <c r="B41" s="29" t="s">
        <v>531</v>
      </c>
      <c r="C41" s="29" t="s">
        <v>532</v>
      </c>
      <c r="D41" s="29" t="s">
        <v>533</v>
      </c>
      <c r="E41" s="41" t="s">
        <v>534</v>
      </c>
      <c r="F41" s="41" t="s">
        <v>527</v>
      </c>
      <c r="G41" s="29" t="s">
        <v>535</v>
      </c>
      <c r="H41" s="29" t="s">
        <v>536</v>
      </c>
      <c r="I41" s="29"/>
      <c r="J41" s="29" t="s">
        <v>5</v>
      </c>
      <c r="K41" s="29" t="s">
        <v>531</v>
      </c>
      <c r="L41" s="29" t="s">
        <v>532</v>
      </c>
      <c r="M41" s="29" t="s">
        <v>533</v>
      </c>
      <c r="N41" s="41" t="s">
        <v>534</v>
      </c>
      <c r="O41" s="29" t="s">
        <v>527</v>
      </c>
      <c r="P41" s="29" t="s">
        <v>537</v>
      </c>
      <c r="Q41" s="57" t="s">
        <v>538</v>
      </c>
    </row>
    <row r="42" ht="14.4" spans="1:17">
      <c r="A42" s="42" t="s">
        <v>539</v>
      </c>
      <c r="B42" s="3">
        <v>9</v>
      </c>
      <c r="C42" s="3">
        <v>24</v>
      </c>
      <c r="D42" s="3">
        <v>6</v>
      </c>
      <c r="E42" s="4">
        <v>2</v>
      </c>
      <c r="F42" s="22">
        <f>SUM(B42:E42)</f>
        <v>41</v>
      </c>
      <c r="G42" s="3">
        <v>17</v>
      </c>
      <c r="H42" s="43">
        <f>F42-G42</f>
        <v>24</v>
      </c>
      <c r="I42" s="43"/>
      <c r="J42" s="3" t="s">
        <v>539</v>
      </c>
      <c r="K42" s="48">
        <v>949203</v>
      </c>
      <c r="L42" s="48">
        <v>7202825</v>
      </c>
      <c r="M42" s="48">
        <v>1999093</v>
      </c>
      <c r="N42" s="49">
        <v>428500</v>
      </c>
      <c r="O42" s="22">
        <f>SUM(K42:N42)</f>
        <v>10579621</v>
      </c>
      <c r="P42" s="50">
        <v>6582420</v>
      </c>
      <c r="Q42" s="58">
        <f>1-P42/O42</f>
        <v>0.377820812295639</v>
      </c>
    </row>
    <row r="43" ht="16.5" customHeight="1" spans="1:17">
      <c r="A43" s="42" t="s">
        <v>302</v>
      </c>
      <c r="B43" s="3">
        <v>6</v>
      </c>
      <c r="C43" s="3">
        <v>12</v>
      </c>
      <c r="D43" s="3">
        <v>2</v>
      </c>
      <c r="E43" s="4">
        <v>3</v>
      </c>
      <c r="F43" s="22">
        <f>SUM(B43:E43)</f>
        <v>23</v>
      </c>
      <c r="J43" s="3" t="s">
        <v>302</v>
      </c>
      <c r="K43" s="48">
        <v>2850800</v>
      </c>
      <c r="L43" s="48">
        <v>11726566</v>
      </c>
      <c r="M43" s="48">
        <v>3225261</v>
      </c>
      <c r="N43" s="43">
        <v>49212000</v>
      </c>
      <c r="O43" s="22">
        <f>SUM(K43:N43)</f>
        <v>67014627</v>
      </c>
      <c r="P43" s="51"/>
      <c r="Q43" s="59"/>
    </row>
    <row r="44" ht="14.4" spans="1:17">
      <c r="A44" s="42" t="s">
        <v>543</v>
      </c>
      <c r="B44" s="3">
        <v>5</v>
      </c>
      <c r="C44" s="3">
        <v>40</v>
      </c>
      <c r="D44" s="3">
        <v>2</v>
      </c>
      <c r="E44" s="4">
        <v>3</v>
      </c>
      <c r="F44" s="22">
        <f>SUM(B44:E44)</f>
        <v>50</v>
      </c>
      <c r="J44" s="3" t="s">
        <v>341</v>
      </c>
      <c r="K44" s="48">
        <v>2180000</v>
      </c>
      <c r="L44" s="48">
        <v>50273675</v>
      </c>
      <c r="M44" s="5">
        <v>25150000</v>
      </c>
      <c r="N44" s="48">
        <v>840000</v>
      </c>
      <c r="O44" s="22">
        <f>SUM(K44:N44)</f>
        <v>78443675</v>
      </c>
      <c r="P44" s="51"/>
      <c r="Q44" s="59"/>
    </row>
    <row r="45" ht="14.4" spans="1:17">
      <c r="A45" s="35" t="s">
        <v>529</v>
      </c>
      <c r="B45" s="2">
        <f>SUM(B42:B44)</f>
        <v>20</v>
      </c>
      <c r="C45" s="2">
        <f>SUM(C42:C44)</f>
        <v>76</v>
      </c>
      <c r="D45" s="2">
        <f>SUM(D42:D44)</f>
        <v>10</v>
      </c>
      <c r="E45" s="2">
        <f>SUM(E42:E44)</f>
        <v>8</v>
      </c>
      <c r="F45" s="2">
        <f>SUM(F42:F44)</f>
        <v>114</v>
      </c>
      <c r="G45" s="2"/>
      <c r="H45" s="2"/>
      <c r="I45" s="2"/>
      <c r="J45" s="52" t="s">
        <v>540</v>
      </c>
      <c r="K45" s="51">
        <f>SUM(K42:K44)</f>
        <v>5980003</v>
      </c>
      <c r="L45" s="51">
        <f>SUM(L42:L44)</f>
        <v>69203066</v>
      </c>
      <c r="M45" s="51">
        <f>SUM(M42:M44)</f>
        <v>30374354</v>
      </c>
      <c r="N45" s="44">
        <f>SUM(N42:N44)</f>
        <v>50480500</v>
      </c>
      <c r="O45" s="51">
        <f>SUM(O42:O44)</f>
        <v>156037923</v>
      </c>
      <c r="P45" s="51"/>
      <c r="Q45" s="60"/>
    </row>
    <row r="46" ht="15.15" spans="1:17">
      <c r="A46" s="45"/>
      <c r="B46" s="46"/>
      <c r="C46" s="46"/>
      <c r="D46" s="46"/>
      <c r="E46" s="47"/>
      <c r="F46" s="46"/>
      <c r="G46" s="46"/>
      <c r="H46" s="46"/>
      <c r="I46" s="46"/>
      <c r="J46" s="46"/>
      <c r="K46" s="53"/>
      <c r="L46" s="53"/>
      <c r="M46" s="53"/>
      <c r="N46" s="53"/>
      <c r="O46" s="53"/>
      <c r="P46" s="53"/>
      <c r="Q46" s="61"/>
    </row>
    <row r="47" ht="15.9"/>
    <row r="48" ht="15.15" spans="1:17">
      <c r="A48" s="37" t="s">
        <v>544</v>
      </c>
      <c r="B48" s="38"/>
      <c r="C48" s="38"/>
      <c r="D48" s="38"/>
      <c r="E48" s="39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56"/>
    </row>
    <row r="49" ht="14.4" spans="1:17">
      <c r="A49" s="40" t="s">
        <v>47</v>
      </c>
      <c r="B49" s="29" t="s">
        <v>531</v>
      </c>
      <c r="C49" s="29" t="s">
        <v>532</v>
      </c>
      <c r="D49" s="29" t="s">
        <v>533</v>
      </c>
      <c r="E49" s="41" t="s">
        <v>534</v>
      </c>
      <c r="F49" s="41" t="s">
        <v>527</v>
      </c>
      <c r="G49" s="29" t="s">
        <v>535</v>
      </c>
      <c r="H49" s="29" t="s">
        <v>536</v>
      </c>
      <c r="I49" s="29"/>
      <c r="J49" s="29" t="s">
        <v>5</v>
      </c>
      <c r="K49" s="29" t="s">
        <v>531</v>
      </c>
      <c r="L49" s="29" t="s">
        <v>532</v>
      </c>
      <c r="M49" s="29" t="s">
        <v>533</v>
      </c>
      <c r="N49" s="41" t="s">
        <v>534</v>
      </c>
      <c r="O49" s="29" t="s">
        <v>527</v>
      </c>
      <c r="P49" s="29" t="s">
        <v>537</v>
      </c>
      <c r="Q49" s="57" t="s">
        <v>538</v>
      </c>
    </row>
    <row r="50" ht="14.4" spans="1:17">
      <c r="A50" s="42" t="s">
        <v>539</v>
      </c>
      <c r="B50" s="3">
        <v>10</v>
      </c>
      <c r="C50" s="3">
        <v>32</v>
      </c>
      <c r="D50" s="3">
        <v>8</v>
      </c>
      <c r="E50" s="4">
        <v>2</v>
      </c>
      <c r="F50" s="22">
        <f>SUM(B50:E50)</f>
        <v>52</v>
      </c>
      <c r="G50" s="3">
        <v>19</v>
      </c>
      <c r="H50" s="43">
        <f>F50-G50</f>
        <v>33</v>
      </c>
      <c r="I50" s="43"/>
      <c r="J50" s="3" t="s">
        <v>539</v>
      </c>
      <c r="K50" s="48">
        <v>922895</v>
      </c>
      <c r="L50" s="48">
        <v>8196414</v>
      </c>
      <c r="M50" s="48">
        <v>2074093</v>
      </c>
      <c r="N50" s="49">
        <v>428500</v>
      </c>
      <c r="O50" s="22">
        <f>SUM(K50:N50)</f>
        <v>11621902</v>
      </c>
      <c r="P50" s="50">
        <v>7278791</v>
      </c>
      <c r="Q50" s="58">
        <f>1-P50/O50</f>
        <v>0.373700535420106</v>
      </c>
    </row>
    <row r="51" ht="14.4" spans="1:17">
      <c r="A51" s="42" t="s">
        <v>302</v>
      </c>
      <c r="B51" s="3">
        <v>5</v>
      </c>
      <c r="C51" s="3">
        <v>8</v>
      </c>
      <c r="D51" s="3">
        <v>6</v>
      </c>
      <c r="E51" s="4">
        <v>5</v>
      </c>
      <c r="F51" s="22">
        <f>SUM(B51:E51)</f>
        <v>24</v>
      </c>
      <c r="J51" s="3" t="s">
        <v>302</v>
      </c>
      <c r="K51" s="48">
        <v>2630800</v>
      </c>
      <c r="L51" s="48">
        <v>10908600</v>
      </c>
      <c r="M51" s="48">
        <v>4041481</v>
      </c>
      <c r="N51" s="48">
        <v>49227000</v>
      </c>
      <c r="O51" s="22">
        <f>SUM(K51:N51)</f>
        <v>66807881</v>
      </c>
      <c r="P51" s="51"/>
      <c r="Q51" s="59"/>
    </row>
    <row r="52" ht="14.4" spans="1:17">
      <c r="A52" s="42" t="s">
        <v>543</v>
      </c>
      <c r="B52" s="3">
        <v>4</v>
      </c>
      <c r="C52" s="3">
        <v>37</v>
      </c>
      <c r="D52" s="3">
        <v>2</v>
      </c>
      <c r="E52" s="4">
        <v>3</v>
      </c>
      <c r="F52" s="22">
        <f>SUM(B52:E52)</f>
        <v>46</v>
      </c>
      <c r="J52" s="3" t="s">
        <v>341</v>
      </c>
      <c r="K52" s="48">
        <v>2160000</v>
      </c>
      <c r="L52" s="48">
        <v>50212575</v>
      </c>
      <c r="M52" s="5">
        <v>25150000</v>
      </c>
      <c r="N52" s="48">
        <v>840000</v>
      </c>
      <c r="O52" s="22">
        <f>SUM(K52:N52)</f>
        <v>78362575</v>
      </c>
      <c r="P52" s="51"/>
      <c r="Q52" s="59"/>
    </row>
    <row r="53" ht="14.4" spans="1:17">
      <c r="A53" s="35" t="s">
        <v>529</v>
      </c>
      <c r="B53" s="2">
        <f>SUM(B50:B52)</f>
        <v>19</v>
      </c>
      <c r="C53" s="2">
        <f>SUM(C50:C52)</f>
        <v>77</v>
      </c>
      <c r="D53" s="2">
        <f>SUM(D50:D52)</f>
        <v>16</v>
      </c>
      <c r="E53" s="2">
        <f>SUM(E50:E52)</f>
        <v>10</v>
      </c>
      <c r="F53" s="2">
        <f>SUM(F50:F52)</f>
        <v>122</v>
      </c>
      <c r="G53" s="2"/>
      <c r="H53" s="2"/>
      <c r="I53" s="2"/>
      <c r="J53" s="52" t="s">
        <v>540</v>
      </c>
      <c r="K53" s="51">
        <f>SUM(K50:K52)</f>
        <v>5713695</v>
      </c>
      <c r="L53" s="51">
        <f>SUM(L50:L52)</f>
        <v>69317589</v>
      </c>
      <c r="M53" s="51">
        <f>SUM(M50:M52)</f>
        <v>31265574</v>
      </c>
      <c r="N53" s="44">
        <f>SUM(N50:N52)</f>
        <v>50495500</v>
      </c>
      <c r="O53" s="51">
        <f>SUM(O50:O52)</f>
        <v>156792358</v>
      </c>
      <c r="P53" s="51"/>
      <c r="Q53" s="60"/>
    </row>
    <row r="54" ht="15.15" spans="1:17">
      <c r="A54" s="45"/>
      <c r="B54" s="46"/>
      <c r="C54" s="46"/>
      <c r="D54" s="46"/>
      <c r="E54" s="47"/>
      <c r="F54" s="46"/>
      <c r="G54" s="46"/>
      <c r="H54" s="46"/>
      <c r="I54" s="46"/>
      <c r="J54" s="46"/>
      <c r="K54" s="53"/>
      <c r="L54" s="53"/>
      <c r="M54" s="53"/>
      <c r="N54" s="53"/>
      <c r="O54" s="53"/>
      <c r="P54" s="53"/>
      <c r="Q54" s="61"/>
    </row>
    <row r="55" ht="15.9" spans="15:15">
      <c r="O55" s="54"/>
    </row>
    <row r="56" ht="15.15" spans="1:17">
      <c r="A56" s="37" t="s">
        <v>545</v>
      </c>
      <c r="B56" s="38"/>
      <c r="C56" s="38"/>
      <c r="D56" s="38"/>
      <c r="E56" s="39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56"/>
    </row>
    <row r="57" ht="14.4" spans="1:17">
      <c r="A57" s="40" t="s">
        <v>47</v>
      </c>
      <c r="B57" s="29" t="s">
        <v>531</v>
      </c>
      <c r="C57" s="29" t="s">
        <v>532</v>
      </c>
      <c r="D57" s="29" t="s">
        <v>533</v>
      </c>
      <c r="E57" s="41" t="s">
        <v>534</v>
      </c>
      <c r="F57" s="41" t="s">
        <v>527</v>
      </c>
      <c r="G57" s="29" t="s">
        <v>535</v>
      </c>
      <c r="H57" s="29" t="s">
        <v>536</v>
      </c>
      <c r="I57" s="29"/>
      <c r="J57" s="29" t="s">
        <v>5</v>
      </c>
      <c r="K57" s="29" t="s">
        <v>531</v>
      </c>
      <c r="L57" s="29" t="s">
        <v>532</v>
      </c>
      <c r="M57" s="29" t="s">
        <v>533</v>
      </c>
      <c r="N57" s="41" t="s">
        <v>534</v>
      </c>
      <c r="O57" s="29" t="s">
        <v>527</v>
      </c>
      <c r="P57" s="29" t="s">
        <v>537</v>
      </c>
      <c r="Q57" s="57" t="s">
        <v>538</v>
      </c>
    </row>
    <row r="58" ht="14.4" spans="1:17">
      <c r="A58" s="42" t="s">
        <v>539</v>
      </c>
      <c r="B58" s="3">
        <v>12</v>
      </c>
      <c r="C58" s="3">
        <v>35</v>
      </c>
      <c r="D58" s="3">
        <v>14</v>
      </c>
      <c r="E58" s="4">
        <v>2</v>
      </c>
      <c r="F58" s="22">
        <f>SUM(B58:E58)</f>
        <v>63</v>
      </c>
      <c r="G58" s="3">
        <v>24</v>
      </c>
      <c r="H58" s="43">
        <f>F58-G58</f>
        <v>39</v>
      </c>
      <c r="I58" s="43"/>
      <c r="J58" s="3" t="s">
        <v>539</v>
      </c>
      <c r="K58" s="48">
        <v>1273695</v>
      </c>
      <c r="L58" s="48">
        <v>10749214</v>
      </c>
      <c r="M58" s="48">
        <v>2547048</v>
      </c>
      <c r="N58" s="49">
        <v>458500</v>
      </c>
      <c r="O58" s="22">
        <f>SUM(K58:N58)</f>
        <v>15028457</v>
      </c>
      <c r="P58" s="50">
        <v>10449856</v>
      </c>
      <c r="Q58" s="58">
        <f>1-P58/O58</f>
        <v>0.304662082075359</v>
      </c>
    </row>
    <row r="59" ht="14.4" spans="1:17">
      <c r="A59" s="42" t="s">
        <v>302</v>
      </c>
      <c r="B59" s="3">
        <v>3</v>
      </c>
      <c r="C59" s="3">
        <v>19</v>
      </c>
      <c r="D59" s="3">
        <v>2</v>
      </c>
      <c r="E59" s="4">
        <v>7</v>
      </c>
      <c r="F59" s="22">
        <f>SUM(B59:E59)</f>
        <v>31</v>
      </c>
      <c r="J59" s="3" t="s">
        <v>302</v>
      </c>
      <c r="K59" s="48">
        <v>2120000</v>
      </c>
      <c r="L59" s="48">
        <v>10100600</v>
      </c>
      <c r="M59" s="48">
        <v>3225261</v>
      </c>
      <c r="N59" s="48">
        <v>49681500</v>
      </c>
      <c r="O59" s="22">
        <f>SUM(K59:N59)</f>
        <v>65127361</v>
      </c>
      <c r="P59" s="51"/>
      <c r="Q59" s="59"/>
    </row>
    <row r="60" ht="14.4" spans="1:17">
      <c r="A60" s="42" t="s">
        <v>543</v>
      </c>
      <c r="B60" s="3">
        <v>4</v>
      </c>
      <c r="C60" s="3">
        <v>33</v>
      </c>
      <c r="D60" s="3">
        <v>3</v>
      </c>
      <c r="E60" s="4">
        <v>2</v>
      </c>
      <c r="F60" s="22">
        <f>SUM(B60:E60)</f>
        <v>42</v>
      </c>
      <c r="J60" s="3" t="s">
        <v>341</v>
      </c>
      <c r="K60" s="48">
        <v>1910000</v>
      </c>
      <c r="L60" s="48">
        <v>49899555</v>
      </c>
      <c r="M60" s="5">
        <v>25225565</v>
      </c>
      <c r="N60" s="48">
        <v>290000</v>
      </c>
      <c r="O60" s="22">
        <f>SUM(K60:N60)</f>
        <v>77325120</v>
      </c>
      <c r="P60" s="51"/>
      <c r="Q60" s="59"/>
    </row>
    <row r="61" ht="14.4" spans="1:17">
      <c r="A61" s="35" t="s">
        <v>529</v>
      </c>
      <c r="B61" s="2">
        <f>SUM(B58:B60)</f>
        <v>19</v>
      </c>
      <c r="C61" s="2">
        <f>SUM(C58:C60)</f>
        <v>87</v>
      </c>
      <c r="D61" s="2">
        <f>SUM(D58:D60)</f>
        <v>19</v>
      </c>
      <c r="E61" s="2">
        <f>SUM(E58:E60)</f>
        <v>11</v>
      </c>
      <c r="F61" s="2">
        <f>SUM(F58:F60)</f>
        <v>136</v>
      </c>
      <c r="G61" s="2"/>
      <c r="H61" s="2"/>
      <c r="I61" s="2"/>
      <c r="J61" s="52" t="s">
        <v>540</v>
      </c>
      <c r="K61" s="51">
        <f>SUM(K58:K60)</f>
        <v>5303695</v>
      </c>
      <c r="L61" s="51">
        <f>SUM(L58:L60)</f>
        <v>70749369</v>
      </c>
      <c r="M61" s="51">
        <f>SUM(M58:M60)</f>
        <v>30997874</v>
      </c>
      <c r="N61" s="44">
        <f>SUM(N58:N60)</f>
        <v>50430000</v>
      </c>
      <c r="O61" s="51">
        <f>SUM(O58:O60)</f>
        <v>157480938</v>
      </c>
      <c r="P61" s="51"/>
      <c r="Q61" s="60"/>
    </row>
    <row r="62" ht="15.15" spans="1:17">
      <c r="A62" s="45"/>
      <c r="B62" s="46"/>
      <c r="C62" s="46"/>
      <c r="D62" s="46"/>
      <c r="E62" s="47"/>
      <c r="F62" s="46"/>
      <c r="G62" s="46"/>
      <c r="H62" s="46"/>
      <c r="I62" s="46"/>
      <c r="J62" s="46"/>
      <c r="K62" s="53"/>
      <c r="L62" s="53"/>
      <c r="M62" s="53"/>
      <c r="N62" s="53"/>
      <c r="O62" s="53"/>
      <c r="P62" s="53"/>
      <c r="Q62" s="61"/>
    </row>
    <row r="63" ht="15.9"/>
    <row r="64" ht="15.15" spans="1:17">
      <c r="A64" s="37" t="s">
        <v>546</v>
      </c>
      <c r="B64" s="38"/>
      <c r="C64" s="38"/>
      <c r="D64" s="38"/>
      <c r="E64" s="39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56"/>
    </row>
    <row r="65" ht="14.4" spans="1:17">
      <c r="A65" s="40" t="s">
        <v>47</v>
      </c>
      <c r="B65" s="29" t="s">
        <v>531</v>
      </c>
      <c r="C65" s="29" t="s">
        <v>532</v>
      </c>
      <c r="D65" s="29" t="s">
        <v>533</v>
      </c>
      <c r="E65" s="41" t="s">
        <v>534</v>
      </c>
      <c r="F65" s="41" t="s">
        <v>527</v>
      </c>
      <c r="G65" s="29" t="s">
        <v>535</v>
      </c>
      <c r="H65" s="29" t="s">
        <v>536</v>
      </c>
      <c r="I65" s="29"/>
      <c r="J65" s="29" t="s">
        <v>5</v>
      </c>
      <c r="K65" s="29" t="s">
        <v>531</v>
      </c>
      <c r="L65" s="29" t="s">
        <v>532</v>
      </c>
      <c r="M65" s="29" t="s">
        <v>533</v>
      </c>
      <c r="N65" s="41" t="s">
        <v>534</v>
      </c>
      <c r="O65" s="29" t="s">
        <v>527</v>
      </c>
      <c r="P65" s="29" t="s">
        <v>537</v>
      </c>
      <c r="Q65" s="57" t="s">
        <v>538</v>
      </c>
    </row>
    <row r="66" ht="14.4" spans="1:17">
      <c r="A66" s="42" t="s">
        <v>539</v>
      </c>
      <c r="F66" s="22">
        <v>74</v>
      </c>
      <c r="G66" s="3">
        <v>33</v>
      </c>
      <c r="H66" s="43">
        <f>F66-G66</f>
        <v>41</v>
      </c>
      <c r="I66" s="43"/>
      <c r="J66" s="3" t="s">
        <v>539</v>
      </c>
      <c r="K66" s="48"/>
      <c r="L66" s="48"/>
      <c r="M66" s="48"/>
      <c r="N66" s="49"/>
      <c r="O66" s="22">
        <f>SUM(K66:N66)</f>
        <v>0</v>
      </c>
      <c r="P66" s="50">
        <v>10449856</v>
      </c>
      <c r="Q66" s="58" t="e">
        <f>1-P66/O66</f>
        <v>#DIV/0!</v>
      </c>
    </row>
    <row r="67" ht="14.4" spans="1:17">
      <c r="A67" s="42" t="s">
        <v>302</v>
      </c>
      <c r="F67" s="22">
        <f>SUM(B67:E67)</f>
        <v>0</v>
      </c>
      <c r="J67" s="3" t="s">
        <v>302</v>
      </c>
      <c r="K67" s="48"/>
      <c r="L67" s="48"/>
      <c r="M67" s="48"/>
      <c r="N67" s="48"/>
      <c r="O67" s="22">
        <f>SUM(K67:N67)</f>
        <v>0</v>
      </c>
      <c r="P67" s="51"/>
      <c r="Q67" s="59"/>
    </row>
    <row r="68" ht="14.4" spans="1:17">
      <c r="A68" s="42" t="s">
        <v>543</v>
      </c>
      <c r="F68" s="22">
        <f>SUM(B68:E68)</f>
        <v>0</v>
      </c>
      <c r="J68" s="3" t="s">
        <v>341</v>
      </c>
      <c r="K68" s="48"/>
      <c r="L68" s="48"/>
      <c r="M68" s="5"/>
      <c r="N68" s="48"/>
      <c r="O68" s="22">
        <f>SUM(K68:N68)</f>
        <v>0</v>
      </c>
      <c r="P68" s="51"/>
      <c r="Q68" s="59"/>
    </row>
    <row r="69" ht="14.4" spans="1:17">
      <c r="A69" s="35" t="s">
        <v>529</v>
      </c>
      <c r="B69" s="2">
        <f>SUM(B66:B68)</f>
        <v>0</v>
      </c>
      <c r="C69" s="2">
        <f>SUM(C66:C68)</f>
        <v>0</v>
      </c>
      <c r="D69" s="2">
        <f>SUM(D66:D68)</f>
        <v>0</v>
      </c>
      <c r="E69" s="2">
        <f>SUM(E66:E68)</f>
        <v>0</v>
      </c>
      <c r="F69" s="2">
        <f>SUM(F66:F68)</f>
        <v>74</v>
      </c>
      <c r="G69" s="2"/>
      <c r="H69" s="2"/>
      <c r="I69" s="2"/>
      <c r="J69" s="52" t="s">
        <v>540</v>
      </c>
      <c r="K69" s="51">
        <f>SUM(K66:K68)</f>
        <v>0</v>
      </c>
      <c r="L69" s="51">
        <f>SUM(L66:L68)</f>
        <v>0</v>
      </c>
      <c r="M69" s="51">
        <f>SUM(M66:M68)</f>
        <v>0</v>
      </c>
      <c r="N69" s="44">
        <f>SUM(N66:N68)</f>
        <v>0</v>
      </c>
      <c r="O69" s="51">
        <f>SUM(O66:O68)</f>
        <v>0</v>
      </c>
      <c r="P69" s="51"/>
      <c r="Q69" s="60"/>
    </row>
    <row r="70" ht="15.15" spans="1:17">
      <c r="A70" s="45"/>
      <c r="B70" s="46"/>
      <c r="C70" s="46"/>
      <c r="D70" s="46"/>
      <c r="E70" s="47"/>
      <c r="F70" s="46"/>
      <c r="G70" s="46"/>
      <c r="H70" s="46"/>
      <c r="I70" s="46"/>
      <c r="J70" s="46"/>
      <c r="K70" s="53"/>
      <c r="L70" s="53"/>
      <c r="M70" s="53"/>
      <c r="N70" s="53"/>
      <c r="O70" s="53"/>
      <c r="P70" s="53"/>
      <c r="Q70" s="61"/>
    </row>
    <row r="71" ht="15.9"/>
    <row r="72" ht="15.15" spans="1:17">
      <c r="A72" s="37" t="s">
        <v>547</v>
      </c>
      <c r="B72" s="38"/>
      <c r="C72" s="38"/>
      <c r="D72" s="38"/>
      <c r="E72" s="39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56"/>
    </row>
    <row r="73" ht="14.4" spans="1:17">
      <c r="A73" s="40" t="s">
        <v>47</v>
      </c>
      <c r="B73" s="29" t="s">
        <v>531</v>
      </c>
      <c r="C73" s="29" t="s">
        <v>532</v>
      </c>
      <c r="D73" s="29" t="s">
        <v>533</v>
      </c>
      <c r="E73" s="41" t="s">
        <v>534</v>
      </c>
      <c r="F73" s="41" t="s">
        <v>527</v>
      </c>
      <c r="G73" s="29" t="s">
        <v>535</v>
      </c>
      <c r="H73" s="29" t="s">
        <v>536</v>
      </c>
      <c r="I73" s="29"/>
      <c r="J73" s="29" t="s">
        <v>5</v>
      </c>
      <c r="K73" s="29" t="s">
        <v>531</v>
      </c>
      <c r="L73" s="29" t="s">
        <v>532</v>
      </c>
      <c r="M73" s="29" t="s">
        <v>533</v>
      </c>
      <c r="N73" s="41" t="s">
        <v>534</v>
      </c>
      <c r="O73" s="29" t="s">
        <v>527</v>
      </c>
      <c r="P73" s="29" t="s">
        <v>537</v>
      </c>
      <c r="Q73" s="57" t="s">
        <v>538</v>
      </c>
    </row>
    <row r="74" ht="14.4" spans="1:17">
      <c r="A74" s="42" t="s">
        <v>539</v>
      </c>
      <c r="B74" s="3">
        <v>16</v>
      </c>
      <c r="C74" s="3">
        <v>47</v>
      </c>
      <c r="D74" s="3">
        <v>19</v>
      </c>
      <c r="E74" s="4">
        <v>4</v>
      </c>
      <c r="F74" s="22">
        <f>SUM(B74:E74)</f>
        <v>86</v>
      </c>
      <c r="G74" s="3">
        <v>43</v>
      </c>
      <c r="H74" s="43">
        <f>F74-G74</f>
        <v>43</v>
      </c>
      <c r="I74" s="43"/>
      <c r="J74" s="3" t="s">
        <v>539</v>
      </c>
      <c r="K74" s="48">
        <v>3671060</v>
      </c>
      <c r="L74" s="48">
        <v>11567714</v>
      </c>
      <c r="M74" s="48">
        <v>4616562</v>
      </c>
      <c r="N74" s="49">
        <v>1224656</v>
      </c>
      <c r="O74" s="22">
        <f>SUM(K74:N74)</f>
        <v>21079992</v>
      </c>
      <c r="P74" s="50">
        <v>11641362</v>
      </c>
      <c r="Q74" s="58">
        <f>1-P74/O74</f>
        <v>0.447753016225054</v>
      </c>
    </row>
    <row r="75" ht="14.4" spans="1:17">
      <c r="A75" s="42" t="s">
        <v>302</v>
      </c>
      <c r="B75" s="3">
        <v>8</v>
      </c>
      <c r="C75" s="3">
        <v>30</v>
      </c>
      <c r="D75" s="3">
        <v>3</v>
      </c>
      <c r="E75" s="4">
        <v>4</v>
      </c>
      <c r="F75" s="22">
        <f>SUM(B75:E75)</f>
        <v>45</v>
      </c>
      <c r="J75" s="3" t="s">
        <v>302</v>
      </c>
      <c r="K75" s="48">
        <v>1870000</v>
      </c>
      <c r="L75" s="48">
        <v>11337835</v>
      </c>
      <c r="M75" s="48">
        <v>1814000</v>
      </c>
      <c r="N75" s="48">
        <v>2624500</v>
      </c>
      <c r="O75" s="22">
        <f>SUM(K75:N75)</f>
        <v>17646335</v>
      </c>
      <c r="P75" s="51"/>
      <c r="Q75" s="59"/>
    </row>
    <row r="76" ht="14.4" spans="1:17">
      <c r="A76" s="42" t="s">
        <v>543</v>
      </c>
      <c r="B76" s="3">
        <v>5</v>
      </c>
      <c r="C76" s="3">
        <v>67</v>
      </c>
      <c r="D76" s="3">
        <v>7</v>
      </c>
      <c r="E76" s="4">
        <v>4</v>
      </c>
      <c r="F76" s="22">
        <f>SUM(B76:E76)</f>
        <v>83</v>
      </c>
      <c r="J76" s="3" t="s">
        <v>341</v>
      </c>
      <c r="K76" s="48">
        <v>1990000</v>
      </c>
      <c r="L76" s="48">
        <v>14771355</v>
      </c>
      <c r="M76" s="5">
        <v>25830315</v>
      </c>
      <c r="N76" s="48">
        <v>3740000</v>
      </c>
      <c r="O76" s="22">
        <f>SUM(K76:N76)</f>
        <v>46331670</v>
      </c>
      <c r="P76" s="51"/>
      <c r="Q76" s="59"/>
    </row>
    <row r="77" ht="14.4" spans="1:17">
      <c r="A77" s="35" t="s">
        <v>529</v>
      </c>
      <c r="B77" s="2">
        <f>SUM(B74:B76)</f>
        <v>29</v>
      </c>
      <c r="C77" s="2">
        <f>SUM(C74:C76)</f>
        <v>144</v>
      </c>
      <c r="D77" s="2">
        <f>SUM(D74:D76)</f>
        <v>29</v>
      </c>
      <c r="E77" s="2">
        <f>SUM(E74:E76)</f>
        <v>12</v>
      </c>
      <c r="F77" s="2">
        <f>SUM(F74:F76)</f>
        <v>214</v>
      </c>
      <c r="G77" s="2"/>
      <c r="H77" s="2"/>
      <c r="I77" s="2"/>
      <c r="J77" s="52" t="s">
        <v>540</v>
      </c>
      <c r="K77" s="51">
        <f>SUM(K74:K76)</f>
        <v>7531060</v>
      </c>
      <c r="L77" s="51">
        <f>SUM(L74:L76)</f>
        <v>37676904</v>
      </c>
      <c r="M77" s="51">
        <f>SUM(M74:M76)</f>
        <v>32260877</v>
      </c>
      <c r="N77" s="44">
        <f>SUM(N74:N76)</f>
        <v>7589156</v>
      </c>
      <c r="O77" s="51">
        <f>SUM(O74:O76)</f>
        <v>85057997</v>
      </c>
      <c r="P77" s="51"/>
      <c r="Q77" s="60"/>
    </row>
    <row r="78" ht="15.15" spans="1:17">
      <c r="A78" s="45"/>
      <c r="B78" s="46"/>
      <c r="C78" s="46"/>
      <c r="D78" s="46"/>
      <c r="E78" s="47"/>
      <c r="F78" s="46"/>
      <c r="G78" s="46"/>
      <c r="H78" s="46"/>
      <c r="I78" s="46"/>
      <c r="J78" s="46"/>
      <c r="K78" s="53"/>
      <c r="L78" s="53"/>
      <c r="M78" s="53"/>
      <c r="N78" s="53"/>
      <c r="O78" s="53"/>
      <c r="P78" s="53"/>
      <c r="Q78" s="61"/>
    </row>
    <row r="79" ht="15.9"/>
    <row r="80" ht="15.15" spans="1:17">
      <c r="A80" s="37" t="s">
        <v>548</v>
      </c>
      <c r="B80" s="38"/>
      <c r="C80" s="38"/>
      <c r="D80" s="38"/>
      <c r="E80" s="39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56"/>
    </row>
    <row r="81" ht="14.4" spans="1:17">
      <c r="A81" s="40" t="s">
        <v>47</v>
      </c>
      <c r="B81" s="29" t="s">
        <v>531</v>
      </c>
      <c r="C81" s="29" t="s">
        <v>532</v>
      </c>
      <c r="D81" s="29" t="s">
        <v>533</v>
      </c>
      <c r="E81" s="41" t="s">
        <v>534</v>
      </c>
      <c r="F81" s="41" t="s">
        <v>527</v>
      </c>
      <c r="G81" s="29" t="s">
        <v>535</v>
      </c>
      <c r="H81" s="29" t="s">
        <v>536</v>
      </c>
      <c r="I81" s="29"/>
      <c r="J81" s="29" t="s">
        <v>5</v>
      </c>
      <c r="K81" s="29" t="s">
        <v>531</v>
      </c>
      <c r="L81" s="29" t="s">
        <v>532</v>
      </c>
      <c r="M81" s="29" t="s">
        <v>533</v>
      </c>
      <c r="N81" s="41" t="s">
        <v>534</v>
      </c>
      <c r="O81" s="29" t="s">
        <v>527</v>
      </c>
      <c r="P81" s="29" t="s">
        <v>537</v>
      </c>
      <c r="Q81" s="57" t="s">
        <v>538</v>
      </c>
    </row>
    <row r="82" ht="14.4" spans="1:17">
      <c r="A82" s="42" t="s">
        <v>539</v>
      </c>
      <c r="B82" s="3" t="e">
        <f>'OCM Table'!#REF!</f>
        <v>#REF!</v>
      </c>
      <c r="C82" s="3" t="e">
        <f>'OCM Table'!#REF!</f>
        <v>#REF!</v>
      </c>
      <c r="D82" s="3" t="e">
        <f>'OCM Table'!#REF!</f>
        <v>#REF!</v>
      </c>
      <c r="E82" s="4" t="e">
        <f>'OCM Table'!#REF!</f>
        <v>#REF!</v>
      </c>
      <c r="F82" s="22"/>
      <c r="G82" s="3">
        <f>SUM('OCM Table'!B207:B208)</f>
        <v>0</v>
      </c>
      <c r="H82" s="43"/>
      <c r="I82" s="43"/>
      <c r="J82" s="3" t="s">
        <v>539</v>
      </c>
      <c r="K82" s="48" t="e">
        <f>'OCM Table'!#REF!</f>
        <v>#REF!</v>
      </c>
      <c r="L82" s="48" t="e">
        <f>'OCM Table'!#REF!</f>
        <v>#REF!</v>
      </c>
      <c r="M82" s="48" t="e">
        <f>'OCM Table'!#REF!</f>
        <v>#REF!</v>
      </c>
      <c r="N82" s="49" t="e">
        <f>'OCM Table'!#REF!</f>
        <v>#REF!</v>
      </c>
      <c r="O82" s="22"/>
      <c r="P82" s="50">
        <f>'OCM Table'!G201</f>
        <v>400</v>
      </c>
      <c r="Q82" s="58"/>
    </row>
    <row r="83" ht="14.4" spans="1:17">
      <c r="A83" s="42" t="s">
        <v>302</v>
      </c>
      <c r="B83" s="3" t="e">
        <f>'OCM Table'!#REF!</f>
        <v>#REF!</v>
      </c>
      <c r="C83" s="3" t="e">
        <f>'OCM Table'!#REF!</f>
        <v>#REF!</v>
      </c>
      <c r="D83" s="3" t="e">
        <f>'OCM Table'!#REF!</f>
        <v>#REF!</v>
      </c>
      <c r="E83" s="4" t="e">
        <f>'OCM Table'!#REF!</f>
        <v>#REF!</v>
      </c>
      <c r="F83" s="22"/>
      <c r="J83" s="3" t="s">
        <v>302</v>
      </c>
      <c r="K83" s="48" t="e">
        <f>'OCM Table'!#REF!</f>
        <v>#REF!</v>
      </c>
      <c r="L83" s="48" t="e">
        <f>'OCM Table'!#REF!</f>
        <v>#REF!</v>
      </c>
      <c r="M83" s="48" t="e">
        <f>'OCM Table'!#REF!</f>
        <v>#REF!</v>
      </c>
      <c r="N83" s="48" t="e">
        <f>'OCM Table'!#REF!</f>
        <v>#REF!</v>
      </c>
      <c r="O83" s="22"/>
      <c r="P83" s="51"/>
      <c r="Q83" s="59"/>
    </row>
    <row r="84" ht="14.4" spans="1:17">
      <c r="A84" s="42" t="s">
        <v>543</v>
      </c>
      <c r="B84" s="3" t="e">
        <f>'OCM Table'!#REF!</f>
        <v>#REF!</v>
      </c>
      <c r="C84" s="3" t="e">
        <f>'OCM Table'!#REF!</f>
        <v>#REF!</v>
      </c>
      <c r="D84" s="3" t="e">
        <f>'OCM Table'!#REF!</f>
        <v>#REF!</v>
      </c>
      <c r="E84" s="4" t="e">
        <f>'OCM Table'!#REF!</f>
        <v>#REF!</v>
      </c>
      <c r="F84" s="22"/>
      <c r="J84" s="3" t="s">
        <v>341</v>
      </c>
      <c r="K84" s="48" t="e">
        <f>'OCM Table'!#REF!</f>
        <v>#REF!</v>
      </c>
      <c r="L84" s="48" t="e">
        <f>'OCM Table'!#REF!</f>
        <v>#REF!</v>
      </c>
      <c r="M84" s="5" t="e">
        <f>'OCM Table'!#REF!</f>
        <v>#REF!</v>
      </c>
      <c r="N84" s="48" t="e">
        <f>'OCM Table'!#REF!</f>
        <v>#REF!</v>
      </c>
      <c r="O84" s="22"/>
      <c r="P84" s="51"/>
      <c r="Q84" s="59"/>
    </row>
    <row r="85" ht="14.4" spans="1:17">
      <c r="A85" s="35" t="s">
        <v>529</v>
      </c>
      <c r="B85" s="2"/>
      <c r="C85" s="2"/>
      <c r="D85" s="2"/>
      <c r="E85" s="2"/>
      <c r="F85" s="2"/>
      <c r="G85" s="2"/>
      <c r="H85" s="2"/>
      <c r="I85" s="2"/>
      <c r="J85" s="52" t="s">
        <v>540</v>
      </c>
      <c r="K85" s="51"/>
      <c r="L85" s="51"/>
      <c r="M85" s="51"/>
      <c r="N85" s="44"/>
      <c r="O85" s="51"/>
      <c r="P85" s="51"/>
      <c r="Q85" s="60"/>
    </row>
    <row r="86" ht="15.15" spans="1:17">
      <c r="A86" s="45"/>
      <c r="B86" s="46"/>
      <c r="C86" s="46"/>
      <c r="D86" s="46"/>
      <c r="E86" s="47"/>
      <c r="F86" s="46"/>
      <c r="G86" s="46"/>
      <c r="H86" s="46"/>
      <c r="I86" s="46"/>
      <c r="J86" s="46"/>
      <c r="K86" s="53"/>
      <c r="L86" s="53"/>
      <c r="M86" s="53"/>
      <c r="N86" s="53"/>
      <c r="O86" s="53"/>
      <c r="P86" s="53"/>
      <c r="Q86" s="61"/>
    </row>
    <row r="87" ht="15.9"/>
    <row r="88" ht="15.15" spans="1:17">
      <c r="A88" s="37" t="s">
        <v>549</v>
      </c>
      <c r="B88" s="38"/>
      <c r="C88" s="38"/>
      <c r="D88" s="38"/>
      <c r="E88" s="39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56"/>
    </row>
    <row r="89" ht="14.4" spans="1:17">
      <c r="A89" s="40" t="s">
        <v>47</v>
      </c>
      <c r="B89" s="29" t="s">
        <v>531</v>
      </c>
      <c r="C89" s="29" t="s">
        <v>532</v>
      </c>
      <c r="D89" s="29" t="s">
        <v>533</v>
      </c>
      <c r="E89" s="41" t="s">
        <v>534</v>
      </c>
      <c r="F89" s="41" t="s">
        <v>527</v>
      </c>
      <c r="G89" s="29" t="s">
        <v>535</v>
      </c>
      <c r="H89" s="29" t="s">
        <v>536</v>
      </c>
      <c r="I89" s="29"/>
      <c r="J89" s="29" t="s">
        <v>5</v>
      </c>
      <c r="K89" s="29" t="s">
        <v>531</v>
      </c>
      <c r="L89" s="29" t="s">
        <v>532</v>
      </c>
      <c r="M89" s="29" t="s">
        <v>533</v>
      </c>
      <c r="N89" s="41" t="s">
        <v>534</v>
      </c>
      <c r="O89" s="29" t="s">
        <v>527</v>
      </c>
      <c r="P89" s="29" t="s">
        <v>537</v>
      </c>
      <c r="Q89" s="57" t="s">
        <v>538</v>
      </c>
    </row>
    <row r="90" ht="14.4" spans="1:17">
      <c r="A90" s="42" t="s">
        <v>539</v>
      </c>
      <c r="B90" s="62">
        <v>19</v>
      </c>
      <c r="C90" s="62">
        <v>80</v>
      </c>
      <c r="D90" s="62">
        <v>21</v>
      </c>
      <c r="E90" s="63">
        <v>9</v>
      </c>
      <c r="F90" s="22">
        <f>SUM(B90:E90)</f>
        <v>129</v>
      </c>
      <c r="G90" s="3">
        <v>71</v>
      </c>
      <c r="H90" s="43">
        <f>F90-G90</f>
        <v>58</v>
      </c>
      <c r="I90" s="43"/>
      <c r="J90" s="3" t="s">
        <v>539</v>
      </c>
      <c r="K90" s="66">
        <v>3871860</v>
      </c>
      <c r="L90" s="66">
        <v>16373352.06</v>
      </c>
      <c r="M90" s="66">
        <v>4705446.95333333</v>
      </c>
      <c r="N90" s="67">
        <v>2429939.2</v>
      </c>
      <c r="O90" s="22">
        <f>SUM(K90:N90)</f>
        <v>27380598.2133333</v>
      </c>
      <c r="P90" s="50">
        <v>15885392.0903333</v>
      </c>
      <c r="Q90" s="58">
        <f>1-P90/O90</f>
        <v>0.419830349703691</v>
      </c>
    </row>
    <row r="91" ht="14.4" spans="1:17">
      <c r="A91" s="42" t="s">
        <v>302</v>
      </c>
      <c r="B91" s="62">
        <v>10</v>
      </c>
      <c r="C91" s="62">
        <v>26</v>
      </c>
      <c r="D91" s="62">
        <v>5</v>
      </c>
      <c r="E91" s="63">
        <v>0</v>
      </c>
      <c r="F91" s="22">
        <f>SUM(B91:E91)</f>
        <v>41</v>
      </c>
      <c r="J91" s="3" t="s">
        <v>302</v>
      </c>
      <c r="K91" s="66">
        <v>2650004.5</v>
      </c>
      <c r="L91" s="66">
        <v>33730000</v>
      </c>
      <c r="M91" s="66">
        <v>384000</v>
      </c>
      <c r="N91" s="66">
        <v>0</v>
      </c>
      <c r="O91" s="22">
        <f>SUM(K91:N91)</f>
        <v>36764004.5</v>
      </c>
      <c r="P91" s="51"/>
      <c r="Q91" s="59"/>
    </row>
    <row r="92" ht="14.4" spans="1:17">
      <c r="A92" s="42" t="s">
        <v>543</v>
      </c>
      <c r="B92" s="62">
        <v>4</v>
      </c>
      <c r="C92" s="62">
        <v>25</v>
      </c>
      <c r="D92" s="62">
        <v>2</v>
      </c>
      <c r="E92" s="63">
        <v>4</v>
      </c>
      <c r="F92" s="22">
        <f>SUM(B92:E92)</f>
        <v>35</v>
      </c>
      <c r="J92" s="3" t="s">
        <v>341</v>
      </c>
      <c r="K92" s="66">
        <v>1690000</v>
      </c>
      <c r="L92" s="66">
        <v>5660155</v>
      </c>
      <c r="M92" s="68">
        <v>294750</v>
      </c>
      <c r="N92" s="66">
        <v>4150000</v>
      </c>
      <c r="O92" s="22">
        <f>SUM(K92:N92)</f>
        <v>11794905</v>
      </c>
      <c r="P92" s="51"/>
      <c r="Q92" s="59"/>
    </row>
    <row r="93" ht="14.4" spans="1:17">
      <c r="A93" s="35" t="s">
        <v>529</v>
      </c>
      <c r="B93" s="2">
        <f>SUM(B90:B92)</f>
        <v>33</v>
      </c>
      <c r="C93" s="2">
        <f>SUM(C90:C92)</f>
        <v>131</v>
      </c>
      <c r="D93" s="2">
        <f>SUM(D90:D92)</f>
        <v>28</v>
      </c>
      <c r="E93" s="2">
        <f>SUM(E90:E92)</f>
        <v>13</v>
      </c>
      <c r="F93" s="2">
        <f>SUM(F90:F92)</f>
        <v>205</v>
      </c>
      <c r="G93" s="2"/>
      <c r="H93" s="2"/>
      <c r="I93" s="2"/>
      <c r="J93" s="52" t="s">
        <v>540</v>
      </c>
      <c r="K93" s="51">
        <f>SUM(K90:K92)</f>
        <v>8211864.5</v>
      </c>
      <c r="L93" s="51">
        <f>SUM(L90:L92)</f>
        <v>55763507.06</v>
      </c>
      <c r="M93" s="51">
        <f>SUM(M90:M92)</f>
        <v>5384196.95333333</v>
      </c>
      <c r="N93" s="44">
        <f>SUM(N90:N92)</f>
        <v>6579939.2</v>
      </c>
      <c r="O93" s="51">
        <f>SUM(O90:O92)</f>
        <v>75939507.7133333</v>
      </c>
      <c r="P93" s="51"/>
      <c r="Q93" s="60"/>
    </row>
    <row r="94" ht="15.15" spans="1:17">
      <c r="A94" s="45"/>
      <c r="B94" s="46"/>
      <c r="C94" s="46"/>
      <c r="D94" s="46"/>
      <c r="E94" s="47"/>
      <c r="F94" s="46"/>
      <c r="G94" s="46"/>
      <c r="H94" s="46"/>
      <c r="I94" s="46"/>
      <c r="J94" s="46"/>
      <c r="K94" s="53"/>
      <c r="L94" s="53"/>
      <c r="M94" s="53"/>
      <c r="N94" s="53"/>
      <c r="O94" s="53"/>
      <c r="P94" s="53"/>
      <c r="Q94" s="61"/>
    </row>
    <row r="95" ht="15.15"/>
    <row r="96" s="1" customFormat="1" ht="14.4" spans="1:18">
      <c r="A96" s="1" t="s">
        <v>550</v>
      </c>
      <c r="B96" s="64" t="s">
        <v>551</v>
      </c>
      <c r="C96" s="64" t="s">
        <v>552</v>
      </c>
      <c r="D96" s="64" t="s">
        <v>553</v>
      </c>
      <c r="E96" s="64" t="s">
        <v>554</v>
      </c>
      <c r="F96" s="64" t="s">
        <v>555</v>
      </c>
      <c r="G96" s="64" t="s">
        <v>556</v>
      </c>
      <c r="H96" s="64" t="s">
        <v>557</v>
      </c>
      <c r="I96" s="64" t="s">
        <v>558</v>
      </c>
      <c r="J96" s="64" t="s">
        <v>559</v>
      </c>
      <c r="R96" s="55"/>
    </row>
    <row r="97" ht="14.4" spans="1:10">
      <c r="A97" s="42" t="s">
        <v>560</v>
      </c>
      <c r="B97" s="4">
        <f>G24</f>
        <v>4</v>
      </c>
      <c r="C97" s="3">
        <f>G33</f>
        <v>14</v>
      </c>
      <c r="D97" s="3">
        <f>G42</f>
        <v>17</v>
      </c>
      <c r="E97" s="43">
        <v>19</v>
      </c>
      <c r="F97" s="4">
        <v>24</v>
      </c>
      <c r="G97" s="4">
        <f t="shared" ref="G97" si="1">G66</f>
        <v>33</v>
      </c>
      <c r="H97" s="4">
        <f>G74</f>
        <v>43</v>
      </c>
      <c r="I97" s="4">
        <v>55</v>
      </c>
      <c r="J97" s="4">
        <f>G90</f>
        <v>71</v>
      </c>
    </row>
    <row r="98" ht="14.4" spans="1:10">
      <c r="A98" s="42" t="s">
        <v>561</v>
      </c>
      <c r="B98" s="4">
        <f>H24</f>
        <v>29</v>
      </c>
      <c r="C98" s="4">
        <f>H33</f>
        <v>19</v>
      </c>
      <c r="D98" s="4">
        <f>H42</f>
        <v>24</v>
      </c>
      <c r="E98" s="4">
        <f>H50</f>
        <v>33</v>
      </c>
      <c r="F98" s="4">
        <v>39</v>
      </c>
      <c r="G98" s="4">
        <v>41</v>
      </c>
      <c r="H98" s="4">
        <f>H74</f>
        <v>43</v>
      </c>
      <c r="I98" s="4">
        <v>49</v>
      </c>
      <c r="J98" s="4">
        <f>H90</f>
        <v>58</v>
      </c>
    </row>
    <row r="99" ht="14.4" spans="1:15">
      <c r="A99" s="42" t="s">
        <v>302</v>
      </c>
      <c r="B99" s="4">
        <f>F25</f>
        <v>20</v>
      </c>
      <c r="C99" s="4">
        <f>F43</f>
        <v>23</v>
      </c>
      <c r="D99" s="4">
        <f>F43</f>
        <v>23</v>
      </c>
      <c r="E99" s="4">
        <v>24</v>
      </c>
      <c r="F99" s="4">
        <v>31</v>
      </c>
      <c r="G99" s="4">
        <v>37</v>
      </c>
      <c r="H99" s="4">
        <f>F75</f>
        <v>45</v>
      </c>
      <c r="I99" s="4">
        <v>43</v>
      </c>
      <c r="J99" s="4">
        <f>F91</f>
        <v>41</v>
      </c>
      <c r="O99" s="48"/>
    </row>
    <row r="100" ht="14.4" spans="1:10">
      <c r="A100" s="42" t="s">
        <v>341</v>
      </c>
      <c r="B100" s="4">
        <f>F26</f>
        <v>14</v>
      </c>
      <c r="C100" s="4">
        <f>F44</f>
        <v>50</v>
      </c>
      <c r="D100" s="4">
        <f>F44</f>
        <v>50</v>
      </c>
      <c r="E100" s="4">
        <v>46</v>
      </c>
      <c r="F100" s="4">
        <v>42</v>
      </c>
      <c r="G100" s="4">
        <v>55</v>
      </c>
      <c r="H100" s="4">
        <f>F76</f>
        <v>83</v>
      </c>
      <c r="I100" s="4">
        <v>62</v>
      </c>
      <c r="J100" s="4">
        <f>F92</f>
        <v>35</v>
      </c>
    </row>
    <row r="101" ht="14.4" spans="1:10">
      <c r="A101" s="3" t="s">
        <v>527</v>
      </c>
      <c r="B101" s="4">
        <f>SUM(B97:B100)</f>
        <v>67</v>
      </c>
      <c r="C101" s="4">
        <f>SUM(C97:C100)</f>
        <v>106</v>
      </c>
      <c r="D101" s="4">
        <f>SUM(D97:D100)</f>
        <v>114</v>
      </c>
      <c r="E101" s="4">
        <v>122</v>
      </c>
      <c r="F101" s="4">
        <v>136</v>
      </c>
      <c r="G101" s="4">
        <f>SUM(G97:G100)</f>
        <v>166</v>
      </c>
      <c r="H101" s="4">
        <f>F77</f>
        <v>214</v>
      </c>
      <c r="I101" s="4">
        <f>SUM(I97:I100)</f>
        <v>209</v>
      </c>
      <c r="J101" s="4">
        <f>SUM(J97:J100)</f>
        <v>205</v>
      </c>
    </row>
    <row r="102" customHeight="1" spans="10:11">
      <c r="J102" s="5"/>
      <c r="K102" s="5"/>
    </row>
    <row r="103" customHeight="1" spans="9:18">
      <c r="I103" s="3" t="s">
        <v>562</v>
      </c>
      <c r="J103" s="64">
        <v>45658</v>
      </c>
      <c r="K103" s="64">
        <v>45689</v>
      </c>
      <c r="L103" s="64">
        <v>45717</v>
      </c>
      <c r="M103" s="64">
        <v>45748</v>
      </c>
      <c r="N103" s="64">
        <v>45778</v>
      </c>
      <c r="O103" s="64">
        <v>45809</v>
      </c>
      <c r="P103" s="64">
        <v>45839</v>
      </c>
      <c r="Q103" s="64">
        <v>45870</v>
      </c>
      <c r="R103" s="64">
        <v>45901</v>
      </c>
    </row>
    <row r="104" customHeight="1" spans="9:18">
      <c r="I104" s="42" t="s">
        <v>563</v>
      </c>
      <c r="J104" s="69">
        <v>4844919</v>
      </c>
      <c r="K104" s="5">
        <f>P33</f>
        <v>4844919</v>
      </c>
      <c r="L104" s="69">
        <f>P42</f>
        <v>6582420</v>
      </c>
      <c r="M104" s="5">
        <v>7278791</v>
      </c>
      <c r="N104" s="5">
        <f>P58</f>
        <v>10449856</v>
      </c>
      <c r="O104" s="5">
        <f>AVERAGE(N104,P104)</f>
        <v>11045609</v>
      </c>
      <c r="P104" s="5">
        <f>P74</f>
        <v>11641362</v>
      </c>
      <c r="Q104" s="5">
        <f>(R104+P104)/2.1</f>
        <v>13107978.138254</v>
      </c>
      <c r="R104" s="5">
        <f>P90</f>
        <v>15885392.0903333</v>
      </c>
    </row>
    <row r="105" customHeight="1" spans="9:18">
      <c r="I105" s="3" t="s">
        <v>564</v>
      </c>
      <c r="J105" s="5">
        <f>O24-P24</f>
        <v>3995004</v>
      </c>
      <c r="K105" s="70">
        <f>O33-P33</f>
        <v>3995438</v>
      </c>
      <c r="L105" s="70">
        <f>O42-P42</f>
        <v>3997201</v>
      </c>
      <c r="M105" s="70">
        <f>O50-P50</f>
        <v>4343111</v>
      </c>
      <c r="N105" s="5">
        <f>O58-P58</f>
        <v>4578601</v>
      </c>
      <c r="O105" s="5">
        <f>AVERAGE(N105,P105)</f>
        <v>7008615.5</v>
      </c>
      <c r="P105" s="5">
        <f>O74-P74</f>
        <v>9438630</v>
      </c>
      <c r="Q105" s="5">
        <f t="shared" ref="Q105:Q107" si="2">(R105+P105)/2.1</f>
        <v>9968493.39190476</v>
      </c>
      <c r="R105" s="5">
        <f>O90-R104</f>
        <v>11495206.123</v>
      </c>
    </row>
    <row r="106" customHeight="1" spans="9:18">
      <c r="I106" s="42" t="s">
        <v>302</v>
      </c>
      <c r="J106" s="51">
        <f>O25</f>
        <v>55645500</v>
      </c>
      <c r="K106" s="5">
        <f>O34</f>
        <v>65164066</v>
      </c>
      <c r="L106" s="51">
        <f>O43</f>
        <v>67014627</v>
      </c>
      <c r="M106" s="5">
        <f>O51</f>
        <v>66807881</v>
      </c>
      <c r="N106" s="5">
        <f t="shared" ref="N106:N108" si="3">O59</f>
        <v>65127361</v>
      </c>
      <c r="O106" s="5">
        <f>AVERAGE(N106,P106)+20000000</f>
        <v>61386848</v>
      </c>
      <c r="P106" s="5">
        <f>O75</f>
        <v>17646335</v>
      </c>
      <c r="Q106" s="5">
        <f t="shared" si="2"/>
        <v>25909685.4761905</v>
      </c>
      <c r="R106" s="5">
        <f>O91</f>
        <v>36764004.5</v>
      </c>
    </row>
    <row r="107" customHeight="1" spans="9:18">
      <c r="I107" s="42" t="s">
        <v>341</v>
      </c>
      <c r="J107" s="51">
        <f>O26</f>
        <v>54531000</v>
      </c>
      <c r="K107" s="5">
        <f>O35</f>
        <v>75837600</v>
      </c>
      <c r="L107" s="5">
        <f>O44</f>
        <v>78443675</v>
      </c>
      <c r="M107" s="5">
        <f>O52</f>
        <v>78362575</v>
      </c>
      <c r="N107" s="5">
        <f t="shared" si="3"/>
        <v>77325120</v>
      </c>
      <c r="O107" s="5">
        <f>AVERAGE(N107,P107)+20000000</f>
        <v>81828395</v>
      </c>
      <c r="P107" s="5">
        <f>O76</f>
        <v>46331670</v>
      </c>
      <c r="Q107" s="5">
        <f t="shared" si="2"/>
        <v>27679321.4285714</v>
      </c>
      <c r="R107" s="5">
        <f>O92</f>
        <v>11794905</v>
      </c>
    </row>
    <row r="108" customHeight="1" spans="9:19">
      <c r="I108" s="2" t="s">
        <v>527</v>
      </c>
      <c r="J108" s="51">
        <f>SUM(J104:J107)</f>
        <v>119016423</v>
      </c>
      <c r="K108" s="51">
        <f>SUM(K104:K107)</f>
        <v>149842023</v>
      </c>
      <c r="L108" s="51">
        <f>SUM(L104:L107)</f>
        <v>156037923</v>
      </c>
      <c r="M108" s="51">
        <f>O53</f>
        <v>156792358</v>
      </c>
      <c r="N108" s="51">
        <f t="shared" si="3"/>
        <v>157480938</v>
      </c>
      <c r="O108" s="51">
        <f>SUM(O104:O107)</f>
        <v>161269467.5</v>
      </c>
      <c r="P108" s="51">
        <f>O77</f>
        <v>85057997</v>
      </c>
      <c r="Q108" s="51">
        <f>SUM(Q104:Q107)</f>
        <v>76665478.4349206</v>
      </c>
      <c r="R108" s="51">
        <f>SUM(R104:R107)</f>
        <v>75939507.7133333</v>
      </c>
      <c r="S108" s="2"/>
    </row>
    <row r="109" customHeight="1" spans="17:17">
      <c r="Q109" s="5"/>
    </row>
    <row r="123" ht="14.4" spans="1:2">
      <c r="A123" s="3" t="s">
        <v>565</v>
      </c>
      <c r="B123" s="65" t="s">
        <v>566</v>
      </c>
    </row>
    <row r="124" ht="14.4" spans="1:2">
      <c r="A124" s="42" t="s">
        <v>560</v>
      </c>
      <c r="B124" s="43">
        <f>M104/D97</f>
        <v>428164.176470588</v>
      </c>
    </row>
    <row r="125" ht="14.4" spans="1:2">
      <c r="A125" s="42" t="s">
        <v>561</v>
      </c>
      <c r="B125" s="43">
        <f>M105/D98</f>
        <v>180962.958333333</v>
      </c>
    </row>
    <row r="126" ht="14.4" spans="1:2">
      <c r="A126" s="42" t="s">
        <v>302</v>
      </c>
      <c r="B126" s="43">
        <f>M106/D99</f>
        <v>2904690.47826087</v>
      </c>
    </row>
    <row r="127" ht="14.4" spans="1:2">
      <c r="A127" s="42" t="s">
        <v>341</v>
      </c>
      <c r="B127" s="43">
        <f>M107/D100</f>
        <v>1567251.5</v>
      </c>
    </row>
  </sheetData>
  <mergeCells count="1">
    <mergeCell ref="A15:B15"/>
  </mergeCells>
  <printOptions horizontalCentered="1"/>
  <pageMargins left="1" right="1" top="1" bottom="1" header="0.5" footer="0.5"/>
  <pageSetup paperSize="1" scale="24" orientation="landscape"/>
  <headerFooter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8D496F3-F0CF-4DE1-8559-52DC70B96298}">
  <ds:schemaRefs/>
</ds:datastoreItem>
</file>

<file path=customXml/itemProps2.xml><?xml version="1.0" encoding="utf-8"?>
<ds:datastoreItem xmlns:ds="http://schemas.openxmlformats.org/officeDocument/2006/customXml" ds:itemID="{20AD67E0-4BCC-4CE7-9DBC-2867B2AE70AD}">
  <ds:schemaRefs/>
</ds:datastoreItem>
</file>

<file path=customXml/itemProps3.xml><?xml version="1.0" encoding="utf-8"?>
<ds:datastoreItem xmlns:ds="http://schemas.openxmlformats.org/officeDocument/2006/customXml" ds:itemID="{922FBA43-FDFD-4447-B00B-DBF3CDB3AD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OCM Table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WORADATE PATTAYAWAN</dc:creator>
  <cp:lastModifiedBy>Shehhzad Kokab</cp:lastModifiedBy>
  <dcterms:created xsi:type="dcterms:W3CDTF">2024-04-12T03:18:00Z</dcterms:created>
  <dcterms:modified xsi:type="dcterms:W3CDTF">2025-11-24T07:18:04Z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0x010100CC50306991E280449F7FF4B2219AF6FA</vt:lpwstr>
  </property>
  <property fmtid="{D5CDD505-2E9C-101B-9397-08002B2CF9AE}" pid="3" name="MediaServiceImageTags">
    <vt:lpwstr/>
  </property>
  <property fmtid="{D5CDD505-2E9C-101B-9397-08002B2CF9AE}" pid="4" name="ICV">
    <vt:lpwstr>E7CE525D587E495B873DEE2E306C9E90_13</vt:lpwstr>
  </property>
  <property fmtid="{D5CDD505-2E9C-101B-9397-08002B2CF9AE}" pid="5" name="KSOProductBuildVer">
    <vt:lpwstr>1033-12.2.0.23131</vt:lpwstr>
  </property>
</Properties>
</file>